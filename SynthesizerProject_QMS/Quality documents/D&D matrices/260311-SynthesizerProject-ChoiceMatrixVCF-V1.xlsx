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computingservices-my.sharepoint.com/personal/kce27_bath_ac_uk/Documents/"/>
    </mc:Choice>
  </mc:AlternateContent>
  <xr:revisionPtr revIDLastSave="12" documentId="8_{5C89E678-D19F-4E4B-877A-DA1C09BCDB5C}" xr6:coauthVersionLast="47" xr6:coauthVersionMax="47" xr10:uidLastSave="{89B34EAB-437C-404E-96F0-1BFADA7DA4D9}"/>
  <bookViews>
    <workbookView xWindow="0" yWindow="0" windowWidth="28800" windowHeight="18000" xr2:uid="{00000000-000D-0000-FFFF-FFFF00000000}"/>
  </bookViews>
  <sheets>
    <sheet name="VCF Choice Matric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3" i="1" l="1"/>
  <c r="E63" i="1"/>
  <c r="D63" i="1"/>
  <c r="F55" i="1"/>
  <c r="E55" i="1"/>
  <c r="D55" i="1"/>
  <c r="E47" i="1"/>
  <c r="D47" i="1"/>
  <c r="F39" i="1"/>
  <c r="E39" i="1"/>
  <c r="D39" i="1"/>
  <c r="F31" i="1"/>
  <c r="E31" i="1"/>
  <c r="D31" i="1"/>
  <c r="F23" i="1"/>
  <c r="E23" i="1"/>
  <c r="D23" i="1"/>
  <c r="F15" i="1"/>
  <c r="E15" i="1"/>
  <c r="D15" i="1"/>
  <c r="F7" i="1"/>
  <c r="E7" i="1"/>
  <c r="D7" i="1"/>
</calcChain>
</file>

<file path=xl/sharedStrings.xml><?xml version="1.0" encoding="utf-8"?>
<sst xmlns="http://schemas.openxmlformats.org/spreadsheetml/2006/main" count="112" uniqueCount="83">
  <si>
    <t>kce27, jm3767, eckl21, jff2280, sps80, yll201</t>
  </si>
  <si>
    <t>N1.1 Performance - Filter Topology (S1.1)</t>
  </si>
  <si>
    <t>Criterion</t>
  </si>
  <si>
    <t>Description</t>
  </si>
  <si>
    <t>Weight</t>
  </si>
  <si>
    <t>Passive RC low-pass</t>
  </si>
  <si>
    <t>Op-amp active low-pass</t>
  </si>
  <si>
    <t>State-variable filter</t>
  </si>
  <si>
    <t>Cut-off control</t>
  </si>
  <si>
    <t>Ability of the topology to achieve the specified 100 Hz to 5 kHz cut-off adjustment range.</t>
  </si>
  <si>
    <t>Resonance support</t>
  </si>
  <si>
    <t>Extent to which the topology can provide a useful resonant response for synthesis applications.</t>
  </si>
  <si>
    <t>Implementation feasibility</t>
  </si>
  <si>
    <t>Complexity of simulation and practical build for a university student using standard lab resources.</t>
  </si>
  <si>
    <t>Total weighted score</t>
  </si>
  <si>
    <t>N1.2 Performance - Frequency Range Method (S1.2)</t>
  </si>
  <si>
    <t>Passive RC variable resistor</t>
  </si>
  <si>
    <t>Active op-amp filter</t>
  </si>
  <si>
    <t>OTA filter</t>
  </si>
  <si>
    <t>Range coverage</t>
  </si>
  <si>
    <t>Ability to cover at least 3 octaves and target the required 100 Hz to 5 kHz operating region.</t>
  </si>
  <si>
    <t>Stability</t>
  </si>
  <si>
    <t>Likelihood of stable filter operation across the intended adjustment range.</t>
  </si>
  <si>
    <t>Prototype suitability</t>
  </si>
  <si>
    <t>Suitability for LTspice simulation and breadboard construction in a student project.</t>
  </si>
  <si>
    <t>N2.1 Usability - Input Signal Handling (S2.1)</t>
  </si>
  <si>
    <t>Passive filter stage</t>
  </si>
  <si>
    <t>Buffered active filter stage</t>
  </si>
  <si>
    <t>OTA stage with buffer</t>
  </si>
  <si>
    <t>Signal handling</t>
  </si>
  <si>
    <t>Ability to accept approximately ±5 V synthesiser-level signals without visible clipping.</t>
  </si>
  <si>
    <t>Signal integrity</t>
  </si>
  <si>
    <t>Effect on waveform quality and preservation of expected filtered output shape.</t>
  </si>
  <si>
    <t>Ease of implementation</t>
  </si>
  <si>
    <t>Amount of additional circuitry and difficulty of implementation for the student project.</t>
  </si>
  <si>
    <t>N2.2 Usability - Module Integration (S2.2)</t>
  </si>
  <si>
    <t>Passive coupling stage</t>
  </si>
  <si>
    <t>Op-amp buffered filter</t>
  </si>
  <si>
    <t>OTA filter with output buffer</t>
  </si>
  <si>
    <t>Interface compatibility</t>
  </si>
  <si>
    <t>Suitability for connecting the VCO output to the filter and providing a usable output to the next stage.</t>
  </si>
  <si>
    <t>Loading performance</t>
  </si>
  <si>
    <t>Ability to reduce loading effects and maintain expected signal amplitude.</t>
  </si>
  <si>
    <t>Implementation effort</t>
  </si>
  <si>
    <t>Complexity of achieving reliable inter-module operation in simulation and hardware.</t>
  </si>
  <si>
    <t>N3 Aesthetic - Resonance Implementation (S3)</t>
  </si>
  <si>
    <t>Ladder filter</t>
  </si>
  <si>
    <t>Active low-pass with feedback</t>
  </si>
  <si>
    <t>Resonance quality</t>
  </si>
  <si>
    <t>Ability to generate a clear and controllable resonant peak around the cut-off frequency.</t>
  </si>
  <si>
    <t>Sound character</t>
  </si>
  <si>
    <t>Usefulness of the resonance behaviour for shaping synthesiser tone.</t>
  </si>
  <si>
    <t>Practical feasibility</t>
  </si>
  <si>
    <t>Difficulty of simulating and building the resonant solution using available resources.</t>
  </si>
  <si>
    <t>N4 Societal - Safe Supply Choice (S4)</t>
  </si>
  <si>
    <t>Low voltage op-amp circuit</t>
  </si>
  <si>
    <t>Higher voltage discrete analogue circuit</t>
  </si>
  <si>
    <t>Safety</t>
  </si>
  <si>
    <t>Suitability of the supply choice for safe operation in a university laboratory environment.</t>
  </si>
  <si>
    <t>Lab compatibility</t>
  </si>
  <si>
    <t>Compatibility with commonly available dual bench power supplies in teaching labs.</t>
  </si>
  <si>
    <t>Implementation practicality</t>
  </si>
  <si>
    <t>Ease of powering and testing the circuit during the project.</t>
  </si>
  <si>
    <t>N5 Sustainability - Component Choice (S5)</t>
  </si>
  <si>
    <t>Custom IC filter module</t>
  </si>
  <si>
    <t>Discrete transistor filter</t>
  </si>
  <si>
    <t>Standard op-amp filter</t>
  </si>
  <si>
    <t>Availability</t>
  </si>
  <si>
    <t>Extent to which the required components are commonly available in the university laboratory.</t>
  </si>
  <si>
    <t>Replaceability</t>
  </si>
  <si>
    <t>Ease with which failed or missing parts can be replaced during prototyping.</t>
  </si>
  <si>
    <t>Reuse in prototyping</t>
  </si>
  <si>
    <t>Suitability of the solution for repeated breadboard prototyping and low-waste development.</t>
  </si>
  <si>
    <t>N6 Business - Project Feasibility (S6)</t>
  </si>
  <si>
    <t>Complex ladder VCF</t>
  </si>
  <si>
    <t>OTA VCF</t>
  </si>
  <si>
    <t>Simple active op-amp VCF</t>
  </si>
  <si>
    <t>Design time</t>
  </si>
  <si>
    <t>Likelihood that the design can be completed, simulated and documented within the project timescale.</t>
  </si>
  <si>
    <t>Ease of debugging</t>
  </si>
  <si>
    <t>Difficulty of fault-finding and tuning during simulation and practical implementation.</t>
  </si>
  <si>
    <t>Probability of success</t>
  </si>
  <si>
    <t>Overall likelihood of achieving a working prototype with available student resources.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</si>
</sst>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/>
    <xf numFmtId="164" fontId="1" fillId="0" borderId="1" xfId="0" applyNumberFormat="1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showGridLines="0" tabSelected="1" workbookViewId="0">
      <pane ySplit="1" topLeftCell="A2" activePane="bottomLeft" state="frozen"/>
      <selection pane="bottomLeft" activeCell="H3" sqref="H3"/>
    </sheetView>
  </sheetViews>
  <sheetFormatPr defaultColWidth="8.85546875" defaultRowHeight="15"/>
  <cols>
    <col min="1" max="1" width="36.140625" bestFit="1" customWidth="1"/>
    <col min="2" max="2" width="58" customWidth="1"/>
    <col min="3" max="3" width="9" customWidth="1"/>
    <col min="4" max="6" width="20" customWidth="1"/>
  </cols>
  <sheetData>
    <row r="1" spans="1:6" ht="17.100000000000001">
      <c r="A1" s="8" t="s">
        <v>0</v>
      </c>
    </row>
    <row r="2" spans="1:6">
      <c r="A2" s="9" t="s">
        <v>1</v>
      </c>
      <c r="B2" s="10"/>
      <c r="C2" s="10"/>
      <c r="D2" s="10"/>
      <c r="E2" s="10"/>
      <c r="F2" s="10"/>
    </row>
    <row r="3" spans="1:6" ht="15.9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32.1">
      <c r="A4" s="2" t="s">
        <v>8</v>
      </c>
      <c r="B4" s="3" t="s">
        <v>9</v>
      </c>
      <c r="C4" s="4">
        <v>0.5</v>
      </c>
      <c r="D4" s="2">
        <v>3</v>
      </c>
      <c r="E4" s="2">
        <v>5</v>
      </c>
      <c r="F4" s="2">
        <v>5</v>
      </c>
    </row>
    <row r="5" spans="1:6" ht="32.1">
      <c r="A5" s="2" t="s">
        <v>10</v>
      </c>
      <c r="B5" s="3" t="s">
        <v>11</v>
      </c>
      <c r="C5" s="4">
        <v>0.3</v>
      </c>
      <c r="D5" s="2">
        <v>1</v>
      </c>
      <c r="E5" s="2">
        <v>4</v>
      </c>
      <c r="F5" s="2">
        <v>5</v>
      </c>
    </row>
    <row r="6" spans="1:6" ht="32.1">
      <c r="A6" s="2" t="s">
        <v>12</v>
      </c>
      <c r="B6" s="3" t="s">
        <v>13</v>
      </c>
      <c r="C6" s="4">
        <v>0.2</v>
      </c>
      <c r="D6" s="2">
        <v>5</v>
      </c>
      <c r="E6" s="2">
        <v>5</v>
      </c>
      <c r="F6" s="2">
        <v>3</v>
      </c>
    </row>
    <row r="7" spans="1:6">
      <c r="A7" s="5" t="s">
        <v>14</v>
      </c>
      <c r="B7" s="6"/>
      <c r="C7" s="6"/>
      <c r="D7" s="7">
        <f>SUMPRODUCT($C$4:$C$6,D4:D6)</f>
        <v>2.8</v>
      </c>
      <c r="E7" s="7">
        <f>SUMPRODUCT($C$4:$C$6,E4:E6)</f>
        <v>4.7</v>
      </c>
      <c r="F7" s="7">
        <f>SUMPRODUCT($C$4:$C$6,F4:F6)</f>
        <v>4.5999999999999996</v>
      </c>
    </row>
    <row r="10" spans="1:6">
      <c r="A10" s="9" t="s">
        <v>15</v>
      </c>
      <c r="B10" s="10"/>
      <c r="C10" s="10"/>
      <c r="D10" s="10"/>
      <c r="E10" s="10"/>
      <c r="F10" s="10"/>
    </row>
    <row r="11" spans="1:6" ht="32.1">
      <c r="A11" s="1" t="s">
        <v>2</v>
      </c>
      <c r="B11" s="1" t="s">
        <v>3</v>
      </c>
      <c r="C11" s="1" t="s">
        <v>4</v>
      </c>
      <c r="D11" s="1" t="s">
        <v>16</v>
      </c>
      <c r="E11" s="1" t="s">
        <v>17</v>
      </c>
      <c r="F11" s="1" t="s">
        <v>18</v>
      </c>
    </row>
    <row r="12" spans="1:6" ht="32.1">
      <c r="A12" s="2" t="s">
        <v>19</v>
      </c>
      <c r="B12" s="3" t="s">
        <v>20</v>
      </c>
      <c r="C12" s="4">
        <v>0.5</v>
      </c>
      <c r="D12" s="2">
        <v>3</v>
      </c>
      <c r="E12" s="2">
        <v>5</v>
      </c>
      <c r="F12" s="2">
        <v>5</v>
      </c>
    </row>
    <row r="13" spans="1:6" ht="32.1">
      <c r="A13" s="2" t="s">
        <v>21</v>
      </c>
      <c r="B13" s="3" t="s">
        <v>22</v>
      </c>
      <c r="C13" s="4">
        <v>0.3</v>
      </c>
      <c r="D13" s="2">
        <v>5</v>
      </c>
      <c r="E13" s="2">
        <v>4</v>
      </c>
      <c r="F13" s="2">
        <v>3</v>
      </c>
    </row>
    <row r="14" spans="1:6" ht="32.1">
      <c r="A14" s="2" t="s">
        <v>23</v>
      </c>
      <c r="B14" s="3" t="s">
        <v>24</v>
      </c>
      <c r="C14" s="4">
        <v>0.2</v>
      </c>
      <c r="D14" s="2">
        <v>5</v>
      </c>
      <c r="E14" s="2">
        <v>5</v>
      </c>
      <c r="F14" s="2">
        <v>3</v>
      </c>
    </row>
    <row r="15" spans="1:6">
      <c r="A15" s="5" t="s">
        <v>14</v>
      </c>
      <c r="B15" s="6"/>
      <c r="C15" s="6"/>
      <c r="D15" s="7">
        <f>SUMPRODUCT($C$12:$C$14,D12:D14)</f>
        <v>4</v>
      </c>
      <c r="E15" s="7">
        <f>SUMPRODUCT($C$12:$C$14,E12:E14)</f>
        <v>4.7</v>
      </c>
      <c r="F15" s="7">
        <f>SUMPRODUCT($C$12:$C$14,F12:F14)</f>
        <v>4</v>
      </c>
    </row>
    <row r="18" spans="1:6">
      <c r="A18" s="9" t="s">
        <v>25</v>
      </c>
      <c r="B18" s="10"/>
      <c r="C18" s="10"/>
      <c r="D18" s="10"/>
      <c r="E18" s="10"/>
      <c r="F18" s="10"/>
    </row>
    <row r="19" spans="1:6" ht="32.1">
      <c r="A19" s="1" t="s">
        <v>2</v>
      </c>
      <c r="B19" s="1" t="s">
        <v>3</v>
      </c>
      <c r="C19" s="1" t="s">
        <v>4</v>
      </c>
      <c r="D19" s="1" t="s">
        <v>26</v>
      </c>
      <c r="E19" s="1" t="s">
        <v>27</v>
      </c>
      <c r="F19" s="1" t="s">
        <v>28</v>
      </c>
    </row>
    <row r="20" spans="1:6" ht="32.1">
      <c r="A20" s="2" t="s">
        <v>29</v>
      </c>
      <c r="B20" s="3" t="s">
        <v>30</v>
      </c>
      <c r="C20" s="4">
        <v>0.5</v>
      </c>
      <c r="D20" s="2">
        <v>2</v>
      </c>
      <c r="E20" s="2">
        <v>5</v>
      </c>
      <c r="F20" s="2">
        <v>4</v>
      </c>
    </row>
    <row r="21" spans="1:6" ht="32.1">
      <c r="A21" s="2" t="s">
        <v>31</v>
      </c>
      <c r="B21" s="3" t="s">
        <v>32</v>
      </c>
      <c r="C21" s="4">
        <v>0.3</v>
      </c>
      <c r="D21" s="2">
        <v>2</v>
      </c>
      <c r="E21" s="2">
        <v>5</v>
      </c>
      <c r="F21" s="2">
        <v>4</v>
      </c>
    </row>
    <row r="22" spans="1:6" ht="32.1">
      <c r="A22" s="2" t="s">
        <v>33</v>
      </c>
      <c r="B22" s="3" t="s">
        <v>34</v>
      </c>
      <c r="C22" s="4">
        <v>0.2</v>
      </c>
      <c r="D22" s="2">
        <v>5</v>
      </c>
      <c r="E22" s="2">
        <v>4</v>
      </c>
      <c r="F22" s="2">
        <v>3</v>
      </c>
    </row>
    <row r="23" spans="1:6">
      <c r="A23" s="5" t="s">
        <v>14</v>
      </c>
      <c r="B23" s="6"/>
      <c r="C23" s="6"/>
      <c r="D23" s="7">
        <f>SUMPRODUCT($C$20:$C$22,D20:D22)</f>
        <v>2.6</v>
      </c>
      <c r="E23" s="7">
        <f>SUMPRODUCT($C$20:$C$22,E20:E22)</f>
        <v>4.8</v>
      </c>
      <c r="F23" s="7">
        <f>SUMPRODUCT($C$20:$C$22,F20:F22)</f>
        <v>3.8000000000000003</v>
      </c>
    </row>
    <row r="26" spans="1:6">
      <c r="A26" s="9" t="s">
        <v>35</v>
      </c>
      <c r="B26" s="10"/>
      <c r="C26" s="10"/>
      <c r="D26" s="10"/>
      <c r="E26" s="10"/>
      <c r="F26" s="10"/>
    </row>
    <row r="27" spans="1:6" ht="32.1">
      <c r="A27" s="1" t="s">
        <v>2</v>
      </c>
      <c r="B27" s="1" t="s">
        <v>3</v>
      </c>
      <c r="C27" s="1" t="s">
        <v>4</v>
      </c>
      <c r="D27" s="1" t="s">
        <v>36</v>
      </c>
      <c r="E27" s="1" t="s">
        <v>37</v>
      </c>
      <c r="F27" s="1" t="s">
        <v>38</v>
      </c>
    </row>
    <row r="28" spans="1:6" ht="32.1">
      <c r="A28" s="2" t="s">
        <v>39</v>
      </c>
      <c r="B28" s="3" t="s">
        <v>40</v>
      </c>
      <c r="C28" s="4">
        <v>0.5</v>
      </c>
      <c r="D28" s="2">
        <v>3</v>
      </c>
      <c r="E28" s="2">
        <v>5</v>
      </c>
      <c r="F28" s="2">
        <v>4</v>
      </c>
    </row>
    <row r="29" spans="1:6" ht="15.95">
      <c r="A29" s="2" t="s">
        <v>41</v>
      </c>
      <c r="B29" s="3" t="s">
        <v>42</v>
      </c>
      <c r="C29" s="4">
        <v>0.3</v>
      </c>
      <c r="D29" s="2">
        <v>2</v>
      </c>
      <c r="E29" s="2">
        <v>5</v>
      </c>
      <c r="F29" s="2">
        <v>4</v>
      </c>
    </row>
    <row r="30" spans="1:6" ht="32.1">
      <c r="A30" s="2" t="s">
        <v>43</v>
      </c>
      <c r="B30" s="3" t="s">
        <v>44</v>
      </c>
      <c r="C30" s="4">
        <v>0.2</v>
      </c>
      <c r="D30" s="2">
        <v>5</v>
      </c>
      <c r="E30" s="2">
        <v>4</v>
      </c>
      <c r="F30" s="2">
        <v>3</v>
      </c>
    </row>
    <row r="31" spans="1:6">
      <c r="A31" s="5" t="s">
        <v>14</v>
      </c>
      <c r="B31" s="6"/>
      <c r="C31" s="6"/>
      <c r="D31" s="7">
        <f>SUMPRODUCT($C$28:$C$30,D28:D30)</f>
        <v>3.1</v>
      </c>
      <c r="E31" s="7">
        <f>SUMPRODUCT($C$28:$C$30,E28:E30)</f>
        <v>4.8</v>
      </c>
      <c r="F31" s="7">
        <f>SUMPRODUCT($C$28:$C$30,F28:F30)</f>
        <v>3.8000000000000003</v>
      </c>
    </row>
    <row r="34" spans="1:6">
      <c r="A34" s="9" t="s">
        <v>45</v>
      </c>
      <c r="B34" s="10"/>
      <c r="C34" s="10"/>
      <c r="D34" s="10"/>
      <c r="E34" s="10"/>
      <c r="F34" s="10"/>
    </row>
    <row r="35" spans="1:6" ht="32.1">
      <c r="A35" s="1" t="s">
        <v>2</v>
      </c>
      <c r="B35" s="1" t="s">
        <v>3</v>
      </c>
      <c r="C35" s="1" t="s">
        <v>4</v>
      </c>
      <c r="D35" s="1" t="s">
        <v>7</v>
      </c>
      <c r="E35" s="1" t="s">
        <v>46</v>
      </c>
      <c r="F35" s="1" t="s">
        <v>47</v>
      </c>
    </row>
    <row r="36" spans="1:6" ht="32.1">
      <c r="A36" s="2" t="s">
        <v>48</v>
      </c>
      <c r="B36" s="3" t="s">
        <v>49</v>
      </c>
      <c r="C36" s="4">
        <v>0.5</v>
      </c>
      <c r="D36" s="2">
        <v>5</v>
      </c>
      <c r="E36" s="2">
        <v>5</v>
      </c>
      <c r="F36" s="2">
        <v>4</v>
      </c>
    </row>
    <row r="37" spans="1:6" ht="15.95">
      <c r="A37" s="2" t="s">
        <v>50</v>
      </c>
      <c r="B37" s="3" t="s">
        <v>51</v>
      </c>
      <c r="C37" s="4">
        <v>0.3</v>
      </c>
      <c r="D37" s="2">
        <v>5</v>
      </c>
      <c r="E37" s="2">
        <v>5</v>
      </c>
      <c r="F37" s="2">
        <v>4</v>
      </c>
    </row>
    <row r="38" spans="1:6" ht="32.1">
      <c r="A38" s="2" t="s">
        <v>52</v>
      </c>
      <c r="B38" s="3" t="s">
        <v>53</v>
      </c>
      <c r="C38" s="4">
        <v>0.2</v>
      </c>
      <c r="D38" s="2">
        <v>3</v>
      </c>
      <c r="E38" s="2">
        <v>2</v>
      </c>
      <c r="F38" s="2">
        <v>5</v>
      </c>
    </row>
    <row r="39" spans="1:6">
      <c r="A39" s="5" t="s">
        <v>14</v>
      </c>
      <c r="B39" s="6"/>
      <c r="C39" s="6"/>
      <c r="D39" s="7">
        <f>SUMPRODUCT($C$36:$C$38,D36:D38)</f>
        <v>4.5999999999999996</v>
      </c>
      <c r="E39" s="7">
        <f>SUMPRODUCT($C$36:$C$38,E36:E38)</f>
        <v>4.4000000000000004</v>
      </c>
      <c r="F39" s="7">
        <f>SUMPRODUCT($C$36:$C$38,F36:F38)</f>
        <v>4.2</v>
      </c>
    </row>
    <row r="42" spans="1:6">
      <c r="A42" s="9" t="s">
        <v>54</v>
      </c>
      <c r="B42" s="10"/>
      <c r="C42" s="10"/>
      <c r="D42" s="10"/>
      <c r="E42" s="10"/>
    </row>
    <row r="43" spans="1:6" ht="32.1">
      <c r="A43" s="1" t="s">
        <v>2</v>
      </c>
      <c r="B43" s="1" t="s">
        <v>3</v>
      </c>
      <c r="C43" s="1" t="s">
        <v>4</v>
      </c>
      <c r="D43" s="1" t="s">
        <v>55</v>
      </c>
      <c r="E43" s="1" t="s">
        <v>56</v>
      </c>
    </row>
    <row r="44" spans="1:6" ht="32.1">
      <c r="A44" s="2" t="s">
        <v>57</v>
      </c>
      <c r="B44" s="3" t="s">
        <v>58</v>
      </c>
      <c r="C44" s="4">
        <v>0.5</v>
      </c>
      <c r="D44" s="2">
        <v>5</v>
      </c>
      <c r="E44" s="2">
        <v>2</v>
      </c>
    </row>
    <row r="45" spans="1:6" ht="32.1">
      <c r="A45" s="2" t="s">
        <v>59</v>
      </c>
      <c r="B45" s="3" t="s">
        <v>60</v>
      </c>
      <c r="C45" s="4">
        <v>0.3</v>
      </c>
      <c r="D45" s="2">
        <v>5</v>
      </c>
      <c r="E45" s="2">
        <v>2</v>
      </c>
    </row>
    <row r="46" spans="1:6" ht="15.95">
      <c r="A46" s="2" t="s">
        <v>61</v>
      </c>
      <c r="B46" s="3" t="s">
        <v>62</v>
      </c>
      <c r="C46" s="4">
        <v>0.2</v>
      </c>
      <c r="D46" s="2">
        <v>4</v>
      </c>
      <c r="E46" s="2">
        <v>2</v>
      </c>
    </row>
    <row r="47" spans="1:6">
      <c r="A47" s="5" t="s">
        <v>14</v>
      </c>
      <c r="B47" s="6"/>
      <c r="C47" s="6"/>
      <c r="D47" s="7">
        <f>SUMPRODUCT($C$44:$C$46,D44:D46)</f>
        <v>4.8</v>
      </c>
      <c r="E47" s="7">
        <f>SUMPRODUCT($C$44:$C$46,E44:E46)</f>
        <v>2</v>
      </c>
    </row>
    <row r="50" spans="1:6">
      <c r="A50" s="9" t="s">
        <v>63</v>
      </c>
      <c r="B50" s="10"/>
      <c r="C50" s="10"/>
      <c r="D50" s="10"/>
      <c r="E50" s="10"/>
      <c r="F50" s="10"/>
    </row>
    <row r="51" spans="1:6" ht="15.95">
      <c r="A51" s="1" t="s">
        <v>2</v>
      </c>
      <c r="B51" s="1" t="s">
        <v>3</v>
      </c>
      <c r="C51" s="1" t="s">
        <v>4</v>
      </c>
      <c r="D51" s="1" t="s">
        <v>64</v>
      </c>
      <c r="E51" s="1" t="s">
        <v>65</v>
      </c>
      <c r="F51" s="1" t="s">
        <v>66</v>
      </c>
    </row>
    <row r="52" spans="1:6" ht="32.1">
      <c r="A52" s="2" t="s">
        <v>67</v>
      </c>
      <c r="B52" s="3" t="s">
        <v>68</v>
      </c>
      <c r="C52" s="4">
        <v>0.5</v>
      </c>
      <c r="D52" s="2">
        <v>2</v>
      </c>
      <c r="E52" s="2">
        <v>4</v>
      </c>
      <c r="F52" s="2">
        <v>5</v>
      </c>
    </row>
    <row r="53" spans="1:6" ht="32.1">
      <c r="A53" s="2" t="s">
        <v>69</v>
      </c>
      <c r="B53" s="3" t="s">
        <v>70</v>
      </c>
      <c r="C53" s="4">
        <v>0.3</v>
      </c>
      <c r="D53" s="2">
        <v>2</v>
      </c>
      <c r="E53" s="2">
        <v>3</v>
      </c>
      <c r="F53" s="2">
        <v>5</v>
      </c>
    </row>
    <row r="54" spans="1:6" ht="32.1">
      <c r="A54" s="2" t="s">
        <v>71</v>
      </c>
      <c r="B54" s="3" t="s">
        <v>72</v>
      </c>
      <c r="C54" s="4">
        <v>0.2</v>
      </c>
      <c r="D54" s="2">
        <v>1</v>
      </c>
      <c r="E54" s="2">
        <v>3</v>
      </c>
      <c r="F54" s="2">
        <v>5</v>
      </c>
    </row>
    <row r="55" spans="1:6">
      <c r="A55" s="5" t="s">
        <v>14</v>
      </c>
      <c r="B55" s="6"/>
      <c r="C55" s="6"/>
      <c r="D55" s="7">
        <f>SUMPRODUCT($C$52:$C$54,D52:D54)</f>
        <v>1.8</v>
      </c>
      <c r="E55" s="7">
        <f>SUMPRODUCT($C$52:$C$54,E52:E54)</f>
        <v>3.5</v>
      </c>
      <c r="F55" s="7">
        <f>SUMPRODUCT($C$52:$C$54,F52:F54)</f>
        <v>5</v>
      </c>
    </row>
    <row r="58" spans="1:6">
      <c r="A58" s="9" t="s">
        <v>73</v>
      </c>
      <c r="B58" s="10"/>
      <c r="C58" s="10"/>
      <c r="D58" s="10"/>
      <c r="E58" s="10"/>
      <c r="F58" s="10"/>
    </row>
    <row r="59" spans="1:6" ht="32.1">
      <c r="A59" s="1" t="s">
        <v>2</v>
      </c>
      <c r="B59" s="1" t="s">
        <v>3</v>
      </c>
      <c r="C59" s="1" t="s">
        <v>4</v>
      </c>
      <c r="D59" s="1" t="s">
        <v>74</v>
      </c>
      <c r="E59" s="1" t="s">
        <v>75</v>
      </c>
      <c r="F59" s="1" t="s">
        <v>76</v>
      </c>
    </row>
    <row r="60" spans="1:6" ht="32.1">
      <c r="A60" s="2" t="s">
        <v>77</v>
      </c>
      <c r="B60" s="3" t="s">
        <v>78</v>
      </c>
      <c r="C60" s="4">
        <v>0.5</v>
      </c>
      <c r="D60" s="2">
        <v>1</v>
      </c>
      <c r="E60" s="2">
        <v>3</v>
      </c>
      <c r="F60" s="2">
        <v>5</v>
      </c>
    </row>
    <row r="61" spans="1:6" ht="32.1">
      <c r="A61" s="2" t="s">
        <v>79</v>
      </c>
      <c r="B61" s="3" t="s">
        <v>80</v>
      </c>
      <c r="C61" s="4">
        <v>0.3</v>
      </c>
      <c r="D61" s="2">
        <v>1</v>
      </c>
      <c r="E61" s="2">
        <v>3</v>
      </c>
      <c r="F61" s="2">
        <v>5</v>
      </c>
    </row>
    <row r="62" spans="1:6" ht="32.1">
      <c r="A62" s="2" t="s">
        <v>81</v>
      </c>
      <c r="B62" s="3" t="s">
        <v>82</v>
      </c>
      <c r="C62" s="4">
        <v>0.2</v>
      </c>
      <c r="D62" s="2">
        <v>2</v>
      </c>
      <c r="E62" s="2">
        <v>3</v>
      </c>
      <c r="F62" s="2">
        <v>5</v>
      </c>
    </row>
    <row r="63" spans="1:6">
      <c r="A63" s="5" t="s">
        <v>14</v>
      </c>
      <c r="B63" s="6"/>
      <c r="C63" s="6"/>
      <c r="D63" s="7">
        <f>SUMPRODUCT($C$60:$C$62,D60:D62)</f>
        <v>1.2000000000000002</v>
      </c>
      <c r="E63" s="7">
        <f>SUMPRODUCT($C$60:$C$62,E60:E62)</f>
        <v>3</v>
      </c>
      <c r="F63" s="7">
        <f>SUMPRODUCT($C$60:$C$62,F60:F62)</f>
        <v>5</v>
      </c>
    </row>
  </sheetData>
  <mergeCells count="8">
    <mergeCell ref="A2:F2"/>
    <mergeCell ref="A10:F10"/>
    <mergeCell ref="A42:E42"/>
    <mergeCell ref="A58:F58"/>
    <mergeCell ref="A34:F34"/>
    <mergeCell ref="A18:F18"/>
    <mergeCell ref="A50:F50"/>
    <mergeCell ref="A26:F26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09B9684E80AB47878FA394B7660CC8" ma:contentTypeVersion="7" ma:contentTypeDescription="Create a new document." ma:contentTypeScope="" ma:versionID="2087fea82225586523f752823fda2b57">
  <xsd:schema xmlns:xsd="http://www.w3.org/2001/XMLSchema" xmlns:xs="http://www.w3.org/2001/XMLSchema" xmlns:p="http://schemas.microsoft.com/office/2006/metadata/properties" xmlns:ns2="0e6e1937-c1de-4ba0-99c7-a77c2bfefe69" targetNamespace="http://schemas.microsoft.com/office/2006/metadata/properties" ma:root="true" ma:fieldsID="26e5ece3cc579de2c1b7512768fd07da" ns2:_="">
    <xsd:import namespace="0e6e1937-c1de-4ba0-99c7-a77c2bfefe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6e1937-c1de-4ba0-99c7-a77c2bfefe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444896-4BD4-44AA-98FB-8EC0A4EF7B7D}"/>
</file>

<file path=customXml/itemProps2.xml><?xml version="1.0" encoding="utf-8"?>
<ds:datastoreItem xmlns:ds="http://schemas.openxmlformats.org/officeDocument/2006/customXml" ds:itemID="{35A9BD02-620B-4FB5-81AA-12EB1F22E4F9}"/>
</file>

<file path=customXml/itemProps3.xml><?xml version="1.0" encoding="utf-8"?>
<ds:datastoreItem xmlns:ds="http://schemas.openxmlformats.org/officeDocument/2006/customXml" ds:itemID="{B3D5E106-D0C3-4BE9-9B61-D1E880EAAC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Jing Fu</cp:lastModifiedBy>
  <cp:revision/>
  <dcterms:created xsi:type="dcterms:W3CDTF">2026-03-11T16:19:50Z</dcterms:created>
  <dcterms:modified xsi:type="dcterms:W3CDTF">2026-04-22T20:49:51Z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0x010100F309B9684E80AB47878FA394B7660CC8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