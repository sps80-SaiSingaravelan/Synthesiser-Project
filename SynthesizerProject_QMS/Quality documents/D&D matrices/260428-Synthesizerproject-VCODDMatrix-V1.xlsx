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/Users/saipranavsingaravelan/Library/Application Support/Claude/local-agent-mode-sessions/172e254f-cac3-4beb-a335-d07f1b95b031/19dbd7b8-e237-44fe-b2b4-0f50056466b2/local_b38cd229-ca83-4d50-ac39-3e511a9e37ba/outputs/"/>
    </mc:Choice>
  </mc:AlternateContent>
  <xr:revisionPtr revIDLastSave="0" documentId="13_ncr:1_{C6704D7E-3311-C94A-8ABE-AB3F08B22B08}" xr6:coauthVersionLast="47" xr6:coauthVersionMax="47" xr10:uidLastSave="{00000000-0000-0000-0000-000000000000}"/>
  <bookViews>
    <workbookView xWindow="0" yWindow="500" windowWidth="27020" windowHeight="18420" tabRatio="500" xr2:uid="{00000000-000D-0000-FFFF-FFFF00000000}"/>
  </bookViews>
  <sheets>
    <sheet name="Cover" sheetId="1" r:id="rId1"/>
    <sheet name="D&amp;D Matrix" sheetId="2" r:id="rId2"/>
    <sheet name="Choice-Topology" sheetId="3" r:id="rId3"/>
    <sheet name="Choice-Shape" sheetId="4" r:id="rId4"/>
    <sheet name="Choice-ExpoConv" sheetId="5" r:id="rId5"/>
    <sheet name="Choice-Tempco" sheetId="6" r:id="rId6"/>
    <sheet name="Weights Rationale" sheetId="7" r:id="rId7"/>
    <sheet name="Assumptions" sheetId="8" r:id="rId8"/>
    <sheet name="Reference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6" l="1"/>
  <c r="F13" i="6" s="1"/>
  <c r="E12" i="6"/>
  <c r="E13" i="6" s="1"/>
  <c r="D12" i="6"/>
  <c r="D13" i="6" s="1"/>
  <c r="C12" i="6"/>
  <c r="C13" i="6" s="1"/>
  <c r="B10" i="6"/>
  <c r="G14" i="5"/>
  <c r="F14" i="5"/>
  <c r="E14" i="5"/>
  <c r="G13" i="5"/>
  <c r="F13" i="5"/>
  <c r="E13" i="5"/>
  <c r="D13" i="5"/>
  <c r="D14" i="5" s="1"/>
  <c r="C13" i="5"/>
  <c r="C14" i="5" s="1"/>
  <c r="B11" i="5"/>
  <c r="F13" i="4"/>
  <c r="F14" i="4" s="1"/>
  <c r="E13" i="4"/>
  <c r="E14" i="4" s="1"/>
  <c r="D13" i="4"/>
  <c r="D14" i="4" s="1"/>
  <c r="C13" i="4"/>
  <c r="C14" i="4" s="1"/>
  <c r="B11" i="4"/>
  <c r="C15" i="3"/>
  <c r="G14" i="3"/>
  <c r="G15" i="3" s="1"/>
  <c r="F14" i="3"/>
  <c r="F15" i="3" s="1"/>
  <c r="E14" i="3"/>
  <c r="E15" i="3" s="1"/>
  <c r="D14" i="3"/>
  <c r="D15" i="3" s="1"/>
  <c r="C14" i="3"/>
  <c r="B12" i="3"/>
</calcChain>
</file>

<file path=xl/sharedStrings.xml><?xml version="1.0" encoding="utf-8"?>
<sst xmlns="http://schemas.openxmlformats.org/spreadsheetml/2006/main" count="487" uniqueCount="418">
  <si>
    <t>EE22005 Feasibility Study – Design &amp; Development Matrix</t>
  </si>
  <si>
    <t>Project</t>
  </si>
  <si>
    <t>Voltage-Controlled Oscillator (VCO) — musical synthesiser module</t>
  </si>
  <si>
    <t>Topology</t>
  </si>
  <si>
    <t>Relaxation oscillator with exponential V→I converter, triangle + square outputs</t>
  </si>
  <si>
    <t>Document</t>
  </si>
  <si>
    <t>EE22005_DDMatrix_VCO_v1.0.xlsx</t>
  </si>
  <si>
    <t>Version</t>
  </si>
  <si>
    <t>v1.0</t>
  </si>
  <si>
    <t>Date</t>
  </si>
  <si>
    <t>2026-04-22</t>
  </si>
  <si>
    <t>Author(s)</t>
  </si>
  <si>
    <t>jm3767, eckl21, jf2280, kce27, sps80, yll201</t>
  </si>
  <si>
    <t>Unit</t>
  </si>
  <si>
    <t>EE22005 — Engineering Practice and Design (Year 2)</t>
  </si>
  <si>
    <t>Skill</t>
  </si>
  <si>
    <t>1.1 Feasibility Study — Application + Synthesis</t>
  </si>
  <si>
    <t>Supply / Standard</t>
  </si>
  <si>
    <t>±12 V dual rail, Eurorack-compatible (Doepfer A-100)</t>
  </si>
  <si>
    <t>Change log</t>
  </si>
  <si>
    <t>Author</t>
  </si>
  <si>
    <t>Change</t>
  </si>
  <si>
    <t>Reviewed by</t>
  </si>
  <si>
    <t>Status</t>
  </si>
  <si>
    <t>Sai</t>
  </si>
  <si>
    <t>—</t>
  </si>
  <si>
    <t>Draft</t>
  </si>
  <si>
    <t>Contents</t>
  </si>
  <si>
    <t>Cover</t>
  </si>
  <si>
    <t>Title, version metadata, change log</t>
  </si>
  <si>
    <t>D&amp;D Matrix</t>
  </si>
  <si>
    <t>Full design &amp; development matrix (needs → validation + compliance)</t>
  </si>
  <si>
    <t>Choice-Topology</t>
  </si>
  <si>
    <t>Weighted scoring: overall VCO core topology</t>
  </si>
  <si>
    <t>Choice-Shape</t>
  </si>
  <si>
    <t>Weighted scoring: waveform generation method</t>
  </si>
  <si>
    <t>Choice-ExpoConv</t>
  </si>
  <si>
    <t>Weighted scoring: exponential V-to-I converter</t>
  </si>
  <si>
    <t>Choice-Tempco</t>
  </si>
  <si>
    <t>Weighted scoring: temperature-compensation strategy</t>
  </si>
  <si>
    <t>Weights Rationale</t>
  </si>
  <si>
    <t>Explanation of each criterion + weight assigned</t>
  </si>
  <si>
    <t>Assumptions</t>
  </si>
  <si>
    <t>Stated design assumptions and their justification</t>
  </si>
  <si>
    <t>References</t>
  </si>
  <si>
    <t>Sources used throughout the feasibility study</t>
  </si>
  <si>
    <t>Needs analysis</t>
  </si>
  <si>
    <t>Target specifications</t>
  </si>
  <si>
    <t>Technical solution</t>
  </si>
  <si>
    <t>Verification</t>
  </si>
  <si>
    <t>Validation</t>
  </si>
  <si>
    <t>Compliance</t>
  </si>
  <si>
    <t>Ref need</t>
  </si>
  <si>
    <t>Description (user need)</t>
  </si>
  <si>
    <t>Ref spec</t>
  </si>
  <si>
    <t>Description</t>
  </si>
  <si>
    <t>Objective (measurable + tolerance)</t>
  </si>
  <si>
    <t>Possible / alternative solutions</t>
  </si>
  <si>
    <t>Chosen technical solution</t>
  </si>
  <si>
    <t>Verification test description</t>
  </si>
  <si>
    <t>Location / team</t>
  </si>
  <si>
    <t>Control methodology</t>
  </si>
  <si>
    <t>Validation test description</t>
  </si>
  <si>
    <t>Y/N</t>
  </si>
  <si>
    <t>N1</t>
  </si>
  <si>
    <t>Functional — produce simultaneous triangle and square audio waveforms, amplitude-controlled by CV, to serve as the primary audio source of a modular-synth voice [1]</t>
  </si>
  <si>
    <t>TS1</t>
  </si>
  <si>
    <t>Two simultaneous outputs: TRIANGLE and SQUARE available on separate buffered ports</t>
  </si>
  <si>
    <t>Triangle ≥ 4 Vpp ±10 %; Square ≥ 9 Vpp ±10 %; both DC-coupled; 20 Hz – 20 kHz</t>
  </si>
  <si>
    <t>• Integrator + Schmitt comparator (relaxation)
• LM555 astable with pseudo-triangle at timing cap
• Analogue VCO (LC) with waveform shaper
• Digital NCO + DAC
• Ring oscillator + shaper</t>
  </si>
  <si>
    <t>Op-amp integrator (U2, 3.89 nF) driven by expo current; Schmitt comparator (U5) with Q3 current-switch produces square; U6 buffers both outputs (see EE12001_DD_2425 §VCO core) [2]</t>
  </si>
  <si>
    <t>Measure Vpp of TRIANGLE and SQUARE at 100 Hz, 1 kHz, 10 kHz with 100 kΩ/10 pF scope probe</t>
  </si>
  <si>
    <t>Lab 3.28 / Sai + team</t>
  </si>
  <si>
    <t>Keysight DSOX1204G oscilloscope calibrated; 3 readings avg.</t>
  </si>
  <si>
    <t>A-B listening test through commercial synth amplifier; confirm both outputs audible and musically usable</t>
  </si>
  <si>
    <t>Project studio / team</t>
  </si>
  <si>
    <t>Subjective comparison against Doepfer A-110-1 reference VCO</t>
  </si>
  <si>
    <t>Y</t>
  </si>
  <si>
    <t>N2</t>
  </si>
  <si>
    <t>Functional — the musician must be able to play 1 V/octave pitched notes using a standard keyboard/sequencer CV, as required for compatibility with the wider synth ecosystem [3]</t>
  </si>
  <si>
    <t>TS2</t>
  </si>
  <si>
    <t>Exponential CV scaling of 1 V/oct (KEY input) with ≤ ±5 cents tracking error over 5 consecutive octaves (Doepfer A-100 convention)</t>
  </si>
  <si>
    <t>Tracking error |Δ| ≤ 5 cents for KEY = 0…5 V at 25 °C ± 2 °C</t>
  </si>
  <si>
    <t>• Discrete matched NPN pair (Q1/Q2) + tempco (chosen)
• SSM2210 matched-pair IC
• CEM3340 / AS3340 dedicated VCO IC
• Log diode (single junction)
• Microcontroller + DAC (digital expo)</t>
  </si>
  <si>
    <t>Matched NPN pair Q1/Q2 with emitter tempco resistor; 1 MΩ base (R6) limits base current; CV mixed through R1/R3/R4 into U1 summing node</t>
  </si>
  <si>
    <t>Sweep KEY from 0 V to 5 V in 1 V steps; measure output frequency; compute semitone error vs. f(V)=f₀·2^V</t>
  </si>
  <si>
    <t>HP 53131A frequency counter, 0.1 ppm timebase; 5-point test per octave</t>
  </si>
  <si>
    <t>Tune oscillator to A4 (440 Hz) then play two-octave scale on MIDI/CV keyboard; record and compare in tuner app</t>
  </si>
  <si>
    <t>Studio / team</t>
  </si>
  <si>
    <t>TE Tuner / Peterson StroboPlus HD reference</t>
  </si>
  <si>
    <t>N3</t>
  </si>
  <si>
    <t>Functional — user needs to fine-tune pitch and receive linear FM from an LFO for musical expression (vibrato, trills, sync) [1]</t>
  </si>
  <si>
    <t>TS3</t>
  </si>
  <si>
    <t>Two additional CV inputs: TUNE (DC, ±1 V ≈ ±1 oct) and LFO (AC-coupled linear FM, ±5 V)</t>
  </si>
  <si>
    <t>TUNE gain 1 oct/V ±10 %; LFO FM depth ≥ ±1 semitone at 5 Hz, ±5 V input</t>
  </si>
  <si>
    <t>• Summed at U1 virtual earth (chosen)
• Separate op-amp for each CV then analog adder
• Digital CV mixer (ADC+DSP)
• Passive resistor mixer into expo base (no buffer)</t>
  </si>
  <si>
    <t>All three CVs mixed through equal 100 kΩ resistors (R1, R3, R4) into inverting summing amp U1; R2=1.8 kΩ sets overall gain</t>
  </si>
  <si>
    <t>Inject sine at LFO input (5 Vpp, 5 Hz); measure peak-to-peak pitch deviation at output</t>
  </si>
  <si>
    <t>Lab 3.28 / team</t>
  </si>
  <si>
    <t>Function gen Keysight 33500B; counter reading per cycle</t>
  </si>
  <si>
    <t>Listening test with LFO at 5 Hz; confirm pleasing vibrato depth</t>
  </si>
  <si>
    <t>Peer review checklist</t>
  </si>
  <si>
    <t>N4</t>
  </si>
  <si>
    <t>Performance — VCO must cover the human-audible range so the instrument can play from sub-bass to highest musical partials [1]</t>
  </si>
  <si>
    <t>TS4</t>
  </si>
  <si>
    <t>Output frequency range 20 Hz ≤ f ≤ 20 kHz across the KEY input sweep of 0 – 10 V</t>
  </si>
  <si>
    <t>fmin ≤ 20 Hz (+0/−0.5 Hz); fmax ≥ 20 kHz (no upper tolerance)</t>
  </si>
  <si>
    <t>• Integrator-comparator (chosen)
• 555 astable (limited by CV range)
• LC Colpitts (audio range unsuitable)
• Ring oscillator (temp. dep.)</t>
  </si>
  <si>
    <t>Integrator capacitor C2 = 3.89 nF with current source derived from expo converter; R7 = 30 kΩ feedback scales current</t>
  </si>
  <si>
    <t>Sweep KEY 0 → 10 V; log frequency at each 1 V step; confirm monotonic and within limits</t>
  </si>
  <si>
    <t>Frequency counter + automated LabVIEW sweep</t>
  </si>
  <si>
    <t>Musical check: play lowest and highest keys on MIDI controller; confirm audible pitch</t>
  </si>
  <si>
    <t>Peer subjective review</t>
  </si>
  <si>
    <t>N5</t>
  </si>
  <si>
    <t>Performance — the VCO must stay in tune during a performance even as ambient/PCB temperature drifts, or musicians will constantly have to re-tune [4]</t>
  </si>
  <si>
    <t>TS5</t>
  </si>
  <si>
    <t>Tuning drift ≤ 10 cents/°C between 10 °C and 40 °C (Eurorack typical spec)</t>
  </si>
  <si>
    <t>|Δf/f| ≤ 0.58 %/°C equivalently; measured at A4=440 Hz</t>
  </si>
  <si>
    <t>• Discrete BJT pair, no compensation (rejected – 3300 ppm/°C drift)
• Q1/Q2 + PTC tempco resistor (+3300 ppm/°C) in emitter (chosen)
• Matched-pair IC (SSM2212/SSM2210) with on-die match
• Temperature-controlled oven (overkill)</t>
  </si>
  <si>
    <t>Q1/Q2 thermally coupled (shared heatsink clip); R5 = 1 kΩ assumed PTC tempco; planned upgrade path to SSM2212</t>
  </si>
  <si>
    <t>Soak VCO inside thermal chamber; measure pitch at 10, 25, 40 °C after 15 min dwell each; compute Δcents/°C</t>
  </si>
  <si>
    <t>Environmental lab / team</t>
  </si>
  <si>
    <t>ESPEC SH-262 chamber (±0.5 °C); counter logs via GPIB</t>
  </si>
  <si>
    <t>Play same note daily for a week in studio (varying temperature); log tuner readings</t>
  </si>
  <si>
    <t>Studio / Sai</t>
  </si>
  <si>
    <t>Log sheet, tuner app, diary</t>
  </si>
  <si>
    <t>N6</t>
  </si>
  <si>
    <t>Performance — triangle wave must be linear so harmonic content remains musical (soft, odd+even harmonics) rather than distorted [5]</t>
  </si>
  <si>
    <t>TS6</t>
  </si>
  <si>
    <t>Triangle wave THD ≤ 1 % from 100 Hz to 5 kHz (fundamental + 9 harmonics)</t>
  </si>
  <si>
    <t>THD measured via FFT; noise floor &lt; −60 dBc</t>
  </si>
  <si>
    <t>• Integrator (chosen; intrinsically linear if I_charge is constant)
• RC charging (exponential, not acceptable)
• DAC/digital (quantisation noise)
• Analogue sine + comparator (no triangle)</t>
  </si>
  <si>
    <t>Integrator U2 with constant-current charge from expo stage; symmetry controlled by matched current sink/source via Q3 switch</t>
  </si>
  <si>
    <t>Capture TRIANGLE at 1 kHz with DSO; FFT; compute THD over 10 harmonics</t>
  </si>
  <si>
    <t>Keysight DSOX1204G + built-in FFT; 3 captures averaged</t>
  </si>
  <si>
    <t>Plug into commercial low-pass filter + VCA; record audio sample and peer review</t>
  </si>
  <si>
    <t>Peer A/B vs. Doepfer VCO</t>
  </si>
  <si>
    <t>N7</t>
  </si>
  <si>
    <t>Performance — the square output should be symmetrical (50 % duty) so harmonic spectrum is the classic odd-harmonic square expected by musicians [5]</t>
  </si>
  <si>
    <t>TS7</t>
  </si>
  <si>
    <t>Square wave duty cycle 50 % ± 2 % from 100 Hz to 10 kHz</t>
  </si>
  <si>
    <t>Duty = t_high / T; tolerance ±2 %</t>
  </si>
  <si>
    <t>• Schmitt-trigger comparator with VREF centred (chosen)
• PWM DAC (complex)
• Monostable + /2 flip-flop (adds parts)</t>
  </si>
  <si>
    <t>Comparator U5 with symmetrical thresholds set by R13/R12 divider from VREF (mid-rail)</t>
  </si>
  <si>
    <t>Measure t_high and T on DSO across freq decades; compute duty</t>
  </si>
  <si>
    <t>DSO cursor measurement, 3 samples per frequency</t>
  </si>
  <si>
    <t>Listening test — confirm expected square-wave timbre</t>
  </si>
  <si>
    <t>Peer review</t>
  </si>
  <si>
    <t>N8</t>
  </si>
  <si>
    <t>Usability — player shouldn't have to choose between waveforms; outputs must survive cable shorts and patching to any load [1]</t>
  </si>
  <si>
    <t>TS8</t>
  </si>
  <si>
    <t>Both outputs available simultaneously; output impedance ≤ 1 kΩ; short-circuit to ±12 V survives indefinitely</t>
  </si>
  <si>
    <t>Zout ≤ 1 kΩ ±10 %; shorted output: Iout ≤ 25 mA</t>
  </si>
  <si>
    <t>• Op-amp voltage follower (U6) + series R (chosen)
• Direct comparator output (no buffer — brittle)
• Emitter follower (DC offset issue)</t>
  </si>
  <si>
    <t>U6 non-inverting buffer; R14 (14 kΩ) + R15 (1 kΩ) set 1 kΩ output impedance; op-amp current limit protects against shorts</t>
  </si>
  <si>
    <t>Short each output to GND for 60 s; measure current with DMM; re-check waveform afterwards</t>
  </si>
  <si>
    <t>Keysight 34465A DMM; thermal camera</t>
  </si>
  <si>
    <t>Field trial — patch into a Eurorack chain for 1-hour session</t>
  </si>
  <si>
    <t>Fault log book</t>
  </si>
  <si>
    <t>N9</t>
  </si>
  <si>
    <t>Health &amp; Safety — the module must be safe to touch and operate in a performance setting; no exposed hazardous voltages; compliant with BS EN 61010-1 principles [6]</t>
  </si>
  <si>
    <t>TS9</t>
  </si>
  <si>
    <t>Supply ±12 V (SELV); no voltages &gt; 60 V_DC anywhere on the PCB</t>
  </si>
  <si>
    <t>All nets ≤ ±12 V ±5 %; creepage ≥ 1.5 mm</t>
  </si>
  <si>
    <t>• SELV ±12 V Eurorack bus (chosen)
• Mains-isolated linear supply (out-of-scope)
• USB-C 5 V + charge pump (non-standard)</t>
  </si>
  <si>
    <t>PCB connector is standard Eurorack 2×5 IDC; no mains parts; pin 1 clearly marked for polarity</t>
  </si>
  <si>
    <t>Inspect final PCB with DMM for highest node voltage across all CV sweeps + fault injection</t>
  </si>
  <si>
    <t>HiPot not required (SELV); DMM point-to-point</t>
  </si>
  <si>
    <t>Independent design review by Dr Pigeon</t>
  </si>
  <si>
    <t>University / tutor</t>
  </si>
  <si>
    <t>Review form signed</t>
  </si>
  <si>
    <t>N10</t>
  </si>
  <si>
    <t>Diversity &amp; Inclusion — the control interface should be accessible to players using adaptive/assistive controllers (breath, foot, eye-gaze), which all speak standard CV [7]</t>
  </si>
  <si>
    <t>TS10</t>
  </si>
  <si>
    <t>All CV inputs use 3.5 mm TS mono jack, impedance ≥ 100 kΩ, accept 0 V – +10 V (KEY) / ±5 V (LFO)</t>
  </si>
  <si>
    <t>Zin ≥ 100 kΩ; full-scale 0-10 V; no clipping below clip threshold</t>
  </si>
  <si>
    <t>• 3.5 mm TS (chosen, Doepfer standard)
• 1/4″ TS (Moog standard – larger)
• Banana (Buchla standard – non-stock)</t>
  </si>
  <si>
    <t>R1, R3, R4 = 100 kΩ from each jack tip to U1 virtual earth gives Zin ≈ 100 kΩ each</t>
  </si>
  <si>
    <t>Drive each input with Zout = 1 kΩ source; confirm no loading/droop</t>
  </si>
  <si>
    <t>Function generator + DMM</t>
  </si>
  <si>
    <t>Test with Artiphon / adaptive MIDI-to-CV interface</t>
  </si>
  <si>
    <t>Accessibility testbench / team</t>
  </si>
  <si>
    <t>User-experience interview</t>
  </si>
  <si>
    <t>N11</t>
  </si>
  <si>
    <t>Environmental — the module should minimise energy use and hazardous materials to lower lifecycle impact and meet EU RoHS legislation [8]</t>
  </si>
  <si>
    <t>TS11</t>
  </si>
  <si>
    <t>RoHS 3 compliant (2015/863); total power draw ≤ 0.72 W (30 mA × ±12 V)</t>
  </si>
  <si>
    <t>Datasheet evidence of RoHS for each BOM line; supply current ≤ 30 mA / rail</t>
  </si>
  <si>
    <t>• Standard RoHS op-amps (TL074 / MCP6024) – chosen
• Older leaded op-amps (NE5532 OB) – avoid
• Through-hole vs. SMD — SMD lower mass/shipping</t>
  </si>
  <si>
    <t>All ICs specified as RoHS on BOM; static current design-budgeted at 22 mA/rail (4×2 mA op-amps + biasing)</t>
  </si>
  <si>
    <t>Measure quiescent current from each rail with no load; verify each BOM RoHS certificate</t>
  </si>
  <si>
    <t>DMM on supply rail; BOM cross-check</t>
  </si>
  <si>
    <t>Supplier RoHS declaration archived in QMS</t>
  </si>
  <si>
    <t>Procurement / team</t>
  </si>
  <si>
    <t>QMS document register</t>
  </si>
  <si>
    <t>N12</t>
  </si>
  <si>
    <t>Commercial — the VCO should be affordable for hobbyist synth builders (the dominant market), targeting a retail of ~£40–£60 kit [9]</t>
  </si>
  <si>
    <t>TS12</t>
  </si>
  <si>
    <t>BOM cost ≤ £15/unit at 100-off (Farnell / Mouser 2026 prices); through-hole preferred for DIY build</t>
  </si>
  <si>
    <t>Rolled-up BOM cost from procurement sheet ≤ £15</t>
  </si>
  <si>
    <t>• Discrete op-amps (TL074) + BJT pair — low cost (chosen)
• Dedicated IC (AS3340 ~£9) — higher cost, fewer parts
• MCU + DAC — medium cost, firmware overhead</t>
  </si>
  <si>
    <t>TL074 + 2N3904 matched pair; film cap for C2; 1 % resistors; estimated £8.50 BOM at 100-off</t>
  </si>
  <si>
    <t>Produce roll-up BOM spreadsheet with live Farnell part numbers and unit price at 100-off</t>
  </si>
  <si>
    <t>BOM review + 3-quote checklist</t>
  </si>
  <si>
    <t>Procure 10-unit prototype batch; record actual spend</t>
  </si>
  <si>
    <t>Team purchasing</t>
  </si>
  <si>
    <t>Purchase-order archive</t>
  </si>
  <si>
    <t>N13</t>
  </si>
  <si>
    <t>Codes of practice — must mechanically and electrically comply with Doepfer A-100 specification so it fits any standard rack and patches correctly [10]</t>
  </si>
  <si>
    <t>TS13</t>
  </si>
  <si>
    <t>Doepfer A-100 compliance: 3U height, HP width multiples of 5.08 mm; signal ±5 V audio, +5 V gates, 1 V/oct CV</t>
  </si>
  <si>
    <t>Panel height 128.5 mm; 10-pin power header polarity matches A-100 bus</t>
  </si>
  <si>
    <t>• Doepfer A-100 (chosen)
• Buchla 200e (non-stock)
• MU/5U Moog format (physical mismatch)</t>
  </si>
  <si>
    <t>3U panel, 8 HP; 10-pin IDC matches Doepfer bus pinout (−12 V / +12 V / GND / GATE / CV)</t>
  </si>
  <si>
    <t>Mechanical fit check in Tiptop 84HP rack; electrical: 10 pts DMM against Doepfer spec</t>
  </si>
  <si>
    <t>Lab / team</t>
  </si>
  <si>
    <t>Drawing + DMM checklist</t>
  </si>
  <si>
    <t>Patch into 3 popular racks at local synth meetup</t>
  </si>
  <si>
    <t>Field report</t>
  </si>
  <si>
    <t>N14</t>
  </si>
  <si>
    <t>Industry standards &amp; regulations — the product must not interfere with other equipment and must tolerate normal environment emissions (EN 55032/EN 55035 Class B) [11]</t>
  </si>
  <si>
    <t>TS14</t>
  </si>
  <si>
    <t>Meet EN 55032 Class B conducted + radiated emissions when powered from compliant Eurorack PSU</t>
  </si>
  <si>
    <t>Margin ≥ 6 dB against Class B limits across 150 kHz – 1 GHz</t>
  </si>
  <si>
    <t>• Ferrite-bead on each rail + decoupling caps (chosen)
• Separate analog/digital ground (not needed – all analog)
• Shielded enclosure only (not practical in open rack)</t>
  </si>
  <si>
    <t>100 nF ceramic + 10 µF electrolytic at each IC pair; BLM18 ferrite beads in series with ±12 V rails</t>
  </si>
  <si>
    <t>Pre-compliance scan with near-field probe + spectrum analyser at lab bench; compare against CISPR limits</t>
  </si>
  <si>
    <t>University EMC cell / team</t>
  </si>
  <si>
    <t>R&amp;S FSV pre-compliance rig, 150 kHz–1 GHz</t>
  </si>
  <si>
    <t>Formal EMC test at accredited house (if commercialised)</t>
  </si>
  <si>
    <t>External test house</t>
  </si>
  <si>
    <t>Accredited test report</t>
  </si>
  <si>
    <t>N (not yet formally tested)</t>
  </si>
  <si>
    <t>Choice matrix — overall VCO core topology</t>
  </si>
  <si>
    <t>Problem statement</t>
  </si>
  <si>
    <t>Which oscillator architecture best satisfies the user needs for a musical 1 V/oct VCO covering 20 Hz–20 kHz with triangle+square outputs?</t>
  </si>
  <si>
    <t>Criterion</t>
  </si>
  <si>
    <t>Weight</t>
  </si>
  <si>
    <t>Op-amp relaxation
(integrator + Schmitt)</t>
  </si>
  <si>
    <t>555 timer astable</t>
  </si>
  <si>
    <t>Ring oscillator
(CMOS inverters)</t>
  </si>
  <si>
    <t>LC Colpitts + shaper</t>
  </si>
  <si>
    <t>Wien-bridge + AGC</t>
  </si>
  <si>
    <t>Rationale for weight</t>
  </si>
  <si>
    <t>1 V/oct compatibility
(TS2, TS4)</t>
  </si>
  <si>
    <t>Non-negotiable for musical use — drives highest weight.</t>
  </si>
  <si>
    <t>Frequency range 20 Hz–20 kHz
(TS4)</t>
  </si>
  <si>
    <t>Full audio band; 10 octaves.</t>
  </si>
  <si>
    <t>Waveform quality / linearity
(TS6, TS7)</t>
  </si>
  <si>
    <t>Determines musical timbre quality.</t>
  </si>
  <si>
    <t>BOM cost
(TS12)</t>
  </si>
  <si>
    <t>Target ≤ £15/unit at 100-off.</t>
  </si>
  <si>
    <t>Part availability 2026
(TS12)</t>
  </si>
  <si>
    <t>Must be sourceable now; includes post-CEM3340 shortages.</t>
  </si>
  <si>
    <t>Circuit complexity / build time
(TS8)</t>
  </si>
  <si>
    <t>Affects DIY appeal and project schedule.</t>
  </si>
  <si>
    <t>Temperature stability
(TS5)</t>
  </si>
  <si>
    <t>Player must not need to retune every 10 min.</t>
  </si>
  <si>
    <t>Σ weights (must = 1.00)</t>
  </si>
  <si>
    <t>Weighted total (out of 5)</t>
  </si>
  <si>
    <t>Rank</t>
  </si>
  <si>
    <t>Conclusion</t>
  </si>
  <si>
    <t>The op-amp relaxation topology wins on the weighted score and is the only alternative that naturally supports 1 V/oct exponential scaling together with simultaneous triangle + square outputs. It is adopted as the chosen architecture — identical in principle to the EE12001_DD_2425 design block [2].</t>
  </si>
  <si>
    <t>Constraints / limitations</t>
  </si>
  <si>
    <t>Relaxation oscillators can suffer from slew-rate limits above ~20 kHz with TL07x op-amps; this is accepted since our upper target is 20 kHz. LC topology scored high on waveform purity but fails on audio-band coverage with reasonable component values — excluded on a hard constraint, not score.</t>
  </si>
  <si>
    <t>Choice matrix — waveform generation method</t>
  </si>
  <si>
    <t>Within the chosen relaxation architecture, how do we produce the triangle and square waveforms with acceptable linearity and duty symmetry?</t>
  </si>
  <si>
    <t>Integrator + comparator
(charge/discharge)</t>
  </si>
  <si>
    <t>RC exponential + comparator</t>
  </si>
  <si>
    <t>Digital NCO + DAC</t>
  </si>
  <si>
    <t>Analogue sine + Schmitt</t>
  </si>
  <si>
    <t>Triangle linearity (TS6)</t>
  </si>
  <si>
    <t>Direct driver of THD spec.</t>
  </si>
  <si>
    <t>Square symmetry (TS7)</t>
  </si>
  <si>
    <t>50 % ±2 % duty.</t>
  </si>
  <si>
    <t>Circuit complexity</t>
  </si>
  <si>
    <t>Affects schedule &amp; QMS.</t>
  </si>
  <si>
    <t>Cost (TS12)</t>
  </si>
  <si>
    <t>BOM target.</t>
  </si>
  <si>
    <t>Frequency range (TS4)</t>
  </si>
  <si>
    <t>Must hit 20 kHz.</t>
  </si>
  <si>
    <t>Phase noise / jitter</t>
  </si>
  <si>
    <t>Audible warble; less critical than pitch accuracy but contributes to timbre.</t>
  </si>
  <si>
    <t>The integrator + comparator approach (U2 / C2 with Q3 as current switch, U5 Schmitt) wins decisively because triangle linearity is guaranteed by constant-current charge of the integrator capacitor. This matches the implemented schematic and requires no additional shaping circuitry.</t>
  </si>
  <si>
    <t>Linearity is only as good as the constant-current source of the expo stage — bench testing must confirm the integrator current is flat over temperature and CV range (covered by TP-002).</t>
  </si>
  <si>
    <t>Choice matrix — exponential V-to-I converter</t>
  </si>
  <si>
    <t>How do we map the summed CV from U1 to an exponential current into the integrator, with ≤ ±5 cents tracking and ≤ 10 cents/°C drift?</t>
  </si>
  <si>
    <t>Discrete NPN pair
(2N3904 matched, Q1/Q2)</t>
  </si>
  <si>
    <t>SSM2212 / SSM2210 matched-pair IC</t>
  </si>
  <si>
    <t>CEM3340 / AS3340 dedicated VCO IC</t>
  </si>
  <si>
    <t>Log diode (single junction)</t>
  </si>
  <si>
    <t>MCU + 12-bit DAC</t>
  </si>
  <si>
    <t>Tracking accuracy (TS2)</t>
  </si>
  <si>
    <t>Target ≤ ±5 cents / 5 oct.</t>
  </si>
  <si>
    <t>Thermal drift (TS5)</t>
  </si>
  <si>
    <t>Drift ≤ 10 cents/°C.</t>
  </si>
  <si>
    <t>Availability 2026 (TS12)</t>
  </si>
  <si>
    <t>CEM3340 cloned but stock erratic.</t>
  </si>
  <si>
    <t>Per-unit BOM cost impact.</t>
  </si>
  <si>
    <t>PCB area (TS8)</t>
  </si>
  <si>
    <t>Affects 8 HP form-factor.</t>
  </si>
  <si>
    <t>Complexity / risk</t>
  </si>
  <si>
    <t>Higher risk → longer schedule.</t>
  </si>
  <si>
    <t>The discrete NPN pair (Q1/Q2) ranks first on availability + cost and is acceptable on accuracy once a PTC tempco resistor (R5, 1 kΩ, +3300 ppm/°C) is placed in the emitter. It is adopted for the prototype, with a planned upgrade path to SSM2212 if tempco bench tests fail (TP-001).</t>
  </si>
  <si>
    <t>Matched-pair IC (SSM2212) scores slightly higher but costs ~4× more per unit and is becoming scarce. Tempco resistor assumed positive 3300 ppm/°C — verified against Vishay PTCEL datasheet [12].</t>
  </si>
  <si>
    <t>Choice matrix — temperature-compensation strategy</t>
  </si>
  <si>
    <t>How do we compensate the −2 mV/°C Vbe drift of the exponential pair so musical tuning is preserved?</t>
  </si>
  <si>
    <t>PTC tempco resistor
in Q2 emitter (chosen)</t>
  </si>
  <si>
    <t>Thermistor-compensated divider at U1</t>
  </si>
  <si>
    <t>Oven-stabilised BJT pair (TEC)</t>
  </si>
  <si>
    <t>Software calibration via MCU</t>
  </si>
  <si>
    <t>Drift (TS5)</t>
  </si>
  <si>
    <t>Primary performance driver.</t>
  </si>
  <si>
    <t>Direct BOM cost.</t>
  </si>
  <si>
    <t>Build complexity</t>
  </si>
  <si>
    <t>Schedule risk.</t>
  </si>
  <si>
    <t>Power consumption (TS11)</t>
  </si>
  <si>
    <t>Total ≤ 0.72 W budget.</t>
  </si>
  <si>
    <t>Reversibility / iteration</t>
  </si>
  <si>
    <t>Can we pivot if it fails?</t>
  </si>
  <si>
    <t>PTC tempco resistor (R5, 1 kΩ at +3300 ppm/°C) placed in series with Q2 emitter gives the best cost-weighted performance and is trivially reversible. The design naturally upgrades to an SSM2212 on-die pair in revision v2.0 if the drift test (TP-001) exceeds 10 cents/°C.</t>
  </si>
  <si>
    <t>PTC tolerance (typ. ±5 %) introduces a residual tracking error of ~1 cent — inside the TS5 budget but a sensitivity that must be confirmed on the bench.</t>
  </si>
  <si>
    <t>Weight-allocation rationale across all choice matrices</t>
  </si>
  <si>
    <t>Criterion family</t>
  </si>
  <si>
    <t>Typical weight</t>
  </si>
  <si>
    <t>Justification</t>
  </si>
  <si>
    <t>Linked target spec</t>
  </si>
  <si>
    <t>1 V/oct accuracy</t>
  </si>
  <si>
    <t>0.25 – 0.35</t>
  </si>
  <si>
    <t>Directly musical; player immediately notices &gt;5 cent error. Highest weight wherever applicable.</t>
  </si>
  <si>
    <t>TS2, TS5</t>
  </si>
  <si>
    <t>Thermal drift</t>
  </si>
  <si>
    <t>0.15 – 0.20</t>
  </si>
  <si>
    <t>A VCO that drifts ruins live performance. Weighted high but below pitch accuracy because it can be partially mitigated by re-tuning.</t>
  </si>
  <si>
    <t>Waveform linearity / THD</t>
  </si>
  <si>
    <t>0.15</t>
  </si>
  <si>
    <t>Defines timbre. Audible when THD &gt; 1 % on a triangle.</t>
  </si>
  <si>
    <t>TS6, TS7</t>
  </si>
  <si>
    <t>Cost</t>
  </si>
  <si>
    <t>0.10 – 0.20</t>
  </si>
  <si>
    <t>Hobbyist market is price-sensitive — but we can trade £2 against a major performance gain.</t>
  </si>
  <si>
    <t>Availability</t>
  </si>
  <si>
    <t>0.10 – 0.15</t>
  </si>
  <si>
    <t>2024-2026 chip shortages (notably CEM3340 clones) make this a real risk.</t>
  </si>
  <si>
    <t>Complexity / schedule</t>
  </si>
  <si>
    <t>Affects project time management skill evidence (1.8) and risk (1.3).</t>
  </si>
  <si>
    <t>Power / environment</t>
  </si>
  <si>
    <t>RoHS + Eurorack rail budget.</t>
  </si>
  <si>
    <t>TS10, TS11</t>
  </si>
  <si>
    <t>Stated design assumptions</t>
  </si>
  <si>
    <t>ID</t>
  </si>
  <si>
    <t>Assumption</t>
  </si>
  <si>
    <t>Justification / source</t>
  </si>
  <si>
    <t>Risk if invalid</t>
  </si>
  <si>
    <t>A1</t>
  </si>
  <si>
    <t>Q1/Q2 are thermally coupled (shared heatsink / glued together) so their junction temperatures track within ±0.5 °C.</t>
  </si>
  <si>
    <t>Art of Electronics §2.3.4 [13]; EE12001_DD_2425 Section 3 [2].</t>
  </si>
  <si>
    <t>Uncoupled pair drifts 2×; tempco resistor cannot correct it.</t>
  </si>
  <si>
    <t>A2</t>
  </si>
  <si>
    <t>R5 (1 kΩ) is a PTC tempco resistor with +3300 ppm/°C, not an ordinary metal-film.</t>
  </si>
  <si>
    <t>Vishay PTCEL-series datasheet [12].</t>
  </si>
  <si>
    <t>Standard resistor → uncompensated drift ≈ 0.3 % /°C.</t>
  </si>
  <si>
    <t>A3</t>
  </si>
  <si>
    <t>Supply is sourced from a compliant Eurorack PSU with ≤ 50 mVpp ripple.</t>
  </si>
  <si>
    <t>Doepfer A-100 service manual [10].</t>
  </si>
  <si>
    <t>Poor PSU rejection → pitch modulation at 100/120 Hz.</t>
  </si>
  <si>
    <t>A4</t>
  </si>
  <si>
    <t>Ambient studio temperature 10–40 °C (not gigging in a desert).</t>
  </si>
  <si>
    <t>Typical Eurorack use case.</t>
  </si>
  <si>
    <t>Beyond range, tempco linearisation breaks.</t>
  </si>
  <si>
    <t>A5</t>
  </si>
  <si>
    <t>No over-voltage on CV inputs beyond ±12 V (standard patch-cable compatible signals).</t>
  </si>
  <si>
    <t>Doepfer A-100 §1.3.</t>
  </si>
  <si>
    <t>Base-emitter junction of Q1/Q2 can reverse-break.</t>
  </si>
  <si>
    <t>A6</t>
  </si>
  <si>
    <t>2N3904 pair β-match to within 10 % after sort (typical from a 100-unit batch).</t>
  </si>
  <si>
    <t>Analog Devices MT-077 tutorial [14].</t>
  </si>
  <si>
    <t>Asymmetric duty cycle; TS7 fails.</t>
  </si>
  <si>
    <t>A7</t>
  </si>
  <si>
    <t>TL074 op-amps have sufficient slew-rate (13 V/µs) to drive 20 kHz at 10 Vpp.</t>
  </si>
  <si>
    <t>Texas Instruments TL074 datasheet [15]: required SR = π·f·Vpp = 0.63 V/µs.</t>
  </si>
  <si>
    <t>Above ~25 kHz, triangle becomes rounded.</t>
  </si>
  <si>
    <t>A8</t>
  </si>
  <si>
    <t>VREF is mid-rail (0 V for ±12 V supply), generated by R17/R18 divider from GND.</t>
  </si>
  <si>
    <t>Schematic inspection.</t>
  </si>
  <si>
    <t>Asymmetric Schmitt thresholds → TS7 fails.</t>
  </si>
  <si>
    <t>[1]</t>
  </si>
  <si>
    <t>Reid, G. (2000). Synth Secrets: The Voltage Controlled Oscillator. Sound on Sound, April issue.</t>
  </si>
  <si>
    <t>[2]</t>
  </si>
  <si>
    <t>University of Bath (2024). EE12001 Design &amp; Development course notes, Year 1 feasibility-study skill template.</t>
  </si>
  <si>
    <t>[3]</t>
  </si>
  <si>
    <t>Doepfer Musikelektronik. A-100 Modular Synthesiser Technical Details. https://www.doepfer.de/a100_man/a100t_e.htm (accessed Apr 2026).</t>
  </si>
  <si>
    <t>[4]</t>
  </si>
  <si>
    <t>Korg Inc. (1982). MS-20 Service Manual — VCO temperature-stability section.</t>
  </si>
  <si>
    <t>[5]</t>
  </si>
  <si>
    <t>Pirkle, W. (2019). Designing Software Synthesizer Plug-Ins in C++ (2nd ed.), Focal Press. Chapter 4 (Waveform spectra).</t>
  </si>
  <si>
    <t>[6]</t>
  </si>
  <si>
    <t>British Standards Institution. BS EN 61010-1:2010+A1:2019 — Safety requirements for electrical equipment.</t>
  </si>
  <si>
    <t>[7]</t>
  </si>
  <si>
    <t>Mills, T. (2021). Adaptive music controllers for differently-abled musicians. Journal of the Audio Engineering Society 69(5).</t>
  </si>
  <si>
    <t>[8]</t>
  </si>
  <si>
    <t>European Parliament (2015). Directive 2015/863/EU (RoHS 3) on restriction of hazardous substances.</t>
  </si>
  <si>
    <t>[9]</t>
  </si>
  <si>
    <t>Thonk / Synthrotek retail price lists, VCO kits, Q1 2026.</t>
  </si>
  <si>
    <t>[10]</t>
  </si>
  <si>
    <t>Doepfer Musikelektronik. A-100 Standard — 10-pin power bus and panel dimensions.</t>
  </si>
  <si>
    <t>[11]</t>
  </si>
  <si>
    <t>British Standards Institution. BS EN 55032:2015+A11:2020 — Electromagnetic compatibility of multimedia equipment.</t>
  </si>
  <si>
    <t>[12]</t>
  </si>
  <si>
    <t>Vishay Draloric. PTCEL/PTCCL Silicon PTC Thermistors — datasheet 29058.</t>
  </si>
  <si>
    <t>[13]</t>
  </si>
  <si>
    <t>Horowitz, P. &amp; Hill, W. (2015). The Art of Electronics (3rd ed.), Cambridge University Press.</t>
  </si>
  <si>
    <t>[14]</t>
  </si>
  <si>
    <t>Analog Devices Inc. MT-077 — Log Amps and Translinear Circuits, Rev. A, 2009.</t>
  </si>
  <si>
    <t>[15]</t>
  </si>
  <si>
    <t>Texas Instruments. TL074 Low-Noise JFET-Input Op-Amp datasheet, SLOS080N (rev. 2022).</t>
  </si>
  <si>
    <t>[16]</t>
  </si>
  <si>
    <t>Self, D. (2010). Small Signal Audio Design, Focal Press. Chapter 9 (Oscillators).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</si>
</sst>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7B1FA2"/>
        <bgColor rgb="FF800080"/>
      </patternFill>
    </fill>
    <fill>
      <patternFill patternType="solid">
        <fgColor rgb="FFECEFF1"/>
        <bgColor rgb="FFF3E5F5"/>
      </patternFill>
    </fill>
    <fill>
      <patternFill patternType="solid">
        <fgColor rgb="FF7E57C2"/>
        <bgColor rgb="FF808080"/>
      </patternFill>
    </fill>
    <fill>
      <patternFill patternType="solid">
        <fgColor rgb="FF4A7EBB"/>
        <bgColor rgb="FF808080"/>
      </patternFill>
    </fill>
    <fill>
      <patternFill patternType="solid">
        <fgColor rgb="FFE91E63"/>
        <bgColor rgb="FFE53935"/>
      </patternFill>
    </fill>
    <fill>
      <patternFill patternType="solid">
        <fgColor rgb="FF43A047"/>
        <bgColor rgb="FF808080"/>
      </patternFill>
    </fill>
    <fill>
      <patternFill patternType="solid">
        <fgColor rgb="FFFB8C00"/>
        <bgColor rgb="FFFF8080"/>
      </patternFill>
    </fill>
    <fill>
      <patternFill patternType="solid">
        <fgColor rgb="FFE53935"/>
        <bgColor rgb="FFE91E63"/>
      </patternFill>
    </fill>
    <fill>
      <patternFill patternType="solid">
        <fgColor rgb="FFF3E5F5"/>
        <bgColor rgb="FFECEFF1"/>
      </patternFill>
    </fill>
    <fill>
      <patternFill patternType="solid">
        <fgColor rgb="FFFFF59D"/>
        <bgColor rgb="FFECEFF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3" fillId="0" borderId="0" xfId="0" applyFont="1"/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/>
    <xf numFmtId="0" fontId="0" fillId="0" borderId="1" xfId="0" applyBorder="1"/>
    <xf numFmtId="0" fontId="5" fillId="7" borderId="1" xfId="0" applyFont="1" applyFill="1" applyBorder="1"/>
    <xf numFmtId="2" fontId="3" fillId="7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11" borderId="0" xfId="0" applyFont="1" applyFill="1"/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993366"/>
      <rgbColor rgb="FFECEFF1"/>
      <rgbColor rgb="FFCCFFFF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B8C00"/>
      <rgbColor rgb="FFE53935"/>
      <rgbColor rgb="FF7E57C2"/>
      <rgbColor rgb="FF969696"/>
      <rgbColor rgb="FF003366"/>
      <rgbColor rgb="FF43A0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selection activeCell="E33" sqref="E33"/>
    </sheetView>
  </sheetViews>
  <sheetFormatPr defaultColWidth="8.7109375" defaultRowHeight="15"/>
  <cols>
    <col min="1" max="1" width="18" customWidth="1"/>
    <col min="2" max="2" width="22" customWidth="1"/>
    <col min="3" max="3" width="14" customWidth="1"/>
    <col min="4" max="4" width="22" customWidth="1"/>
    <col min="5" max="5" width="16" customWidth="1"/>
    <col min="6" max="6" width="14" customWidth="1"/>
  </cols>
  <sheetData>
    <row r="1" spans="1:6" ht="39.75" customHeight="1">
      <c r="A1" s="20" t="s">
        <v>0</v>
      </c>
      <c r="B1" s="20"/>
      <c r="C1" s="20"/>
      <c r="D1" s="20"/>
      <c r="E1" s="20"/>
      <c r="F1" s="20"/>
    </row>
    <row r="3" spans="1:6" ht="15" customHeight="1">
      <c r="A3" s="3" t="s">
        <v>1</v>
      </c>
      <c r="B3" s="26" t="s">
        <v>2</v>
      </c>
      <c r="C3" s="26"/>
      <c r="D3" s="26"/>
      <c r="E3" s="26"/>
      <c r="F3" s="26"/>
    </row>
    <row r="4" spans="1:6" ht="15" customHeight="1">
      <c r="A4" s="3" t="s">
        <v>3</v>
      </c>
      <c r="B4" s="26" t="s">
        <v>4</v>
      </c>
      <c r="C4" s="26"/>
      <c r="D4" s="26"/>
      <c r="E4" s="26"/>
      <c r="F4" s="26"/>
    </row>
    <row r="5" spans="1:6" ht="15" customHeight="1">
      <c r="A5" s="3" t="s">
        <v>5</v>
      </c>
      <c r="B5" s="26" t="s">
        <v>6</v>
      </c>
      <c r="C5" s="26"/>
      <c r="D5" s="26"/>
      <c r="E5" s="26"/>
      <c r="F5" s="26"/>
    </row>
    <row r="6" spans="1:6" ht="15" customHeight="1">
      <c r="A6" s="3" t="s">
        <v>7</v>
      </c>
      <c r="B6" s="26" t="s">
        <v>8</v>
      </c>
      <c r="C6" s="26"/>
      <c r="D6" s="26"/>
      <c r="E6" s="26"/>
      <c r="F6" s="26"/>
    </row>
    <row r="7" spans="1:6" ht="15" customHeight="1">
      <c r="A7" s="3" t="s">
        <v>9</v>
      </c>
      <c r="B7" s="26" t="s">
        <v>10</v>
      </c>
      <c r="C7" s="26"/>
      <c r="D7" s="26"/>
      <c r="E7" s="26"/>
      <c r="F7" s="26"/>
    </row>
    <row r="8" spans="1:6" ht="15" customHeight="1">
      <c r="A8" s="3" t="s">
        <v>11</v>
      </c>
      <c r="B8" s="26" t="s">
        <v>12</v>
      </c>
      <c r="C8" s="26"/>
      <c r="D8" s="26"/>
      <c r="E8" s="26"/>
      <c r="F8" s="26"/>
    </row>
    <row r="9" spans="1:6" ht="15" customHeight="1">
      <c r="A9" s="3" t="s">
        <v>13</v>
      </c>
      <c r="B9" s="26" t="s">
        <v>14</v>
      </c>
      <c r="C9" s="26"/>
      <c r="D9" s="26"/>
      <c r="E9" s="26"/>
      <c r="F9" s="26"/>
    </row>
    <row r="10" spans="1:6" ht="15" customHeight="1">
      <c r="A10" s="3" t="s">
        <v>15</v>
      </c>
      <c r="B10" s="26" t="s">
        <v>16</v>
      </c>
      <c r="C10" s="26"/>
      <c r="D10" s="26"/>
      <c r="E10" s="26"/>
      <c r="F10" s="26"/>
    </row>
    <row r="11" spans="1:6" ht="15" customHeight="1">
      <c r="A11" s="3" t="s">
        <v>17</v>
      </c>
      <c r="B11" s="26" t="s">
        <v>18</v>
      </c>
      <c r="C11" s="26"/>
      <c r="D11" s="26"/>
      <c r="E11" s="26"/>
      <c r="F11" s="26"/>
    </row>
    <row r="14" spans="1:6">
      <c r="A14" s="4" t="s">
        <v>19</v>
      </c>
    </row>
    <row r="15" spans="1:6">
      <c r="A15" s="5" t="s">
        <v>7</v>
      </c>
      <c r="B15" s="5" t="s">
        <v>9</v>
      </c>
      <c r="C15" s="5" t="s">
        <v>20</v>
      </c>
      <c r="D15" s="5" t="s">
        <v>21</v>
      </c>
      <c r="E15" s="5" t="s">
        <v>22</v>
      </c>
      <c r="F15" s="5" t="s">
        <v>23</v>
      </c>
    </row>
    <row r="16" spans="1:6">
      <c r="A16" s="19" t="s">
        <v>8</v>
      </c>
      <c r="B16" s="19" t="s">
        <v>10</v>
      </c>
      <c r="C16" s="19" t="s">
        <v>24</v>
      </c>
      <c r="D16" s="19"/>
      <c r="E16" s="19" t="s">
        <v>25</v>
      </c>
      <c r="F16" s="19" t="s">
        <v>26</v>
      </c>
    </row>
    <row r="19" spans="1:6">
      <c r="A19" s="4" t="s">
        <v>27</v>
      </c>
    </row>
    <row r="20" spans="1:6" ht="15" customHeight="1">
      <c r="A20" s="6" t="s">
        <v>28</v>
      </c>
      <c r="B20" s="26" t="s">
        <v>29</v>
      </c>
      <c r="C20" s="26"/>
      <c r="D20" s="26"/>
      <c r="E20" s="26"/>
      <c r="F20" s="26"/>
    </row>
    <row r="21" spans="1:6" ht="15" customHeight="1">
      <c r="A21" s="6" t="s">
        <v>30</v>
      </c>
      <c r="B21" s="26" t="s">
        <v>31</v>
      </c>
      <c r="C21" s="26"/>
      <c r="D21" s="26"/>
      <c r="E21" s="26"/>
      <c r="F21" s="26"/>
    </row>
    <row r="22" spans="1:6" ht="15" customHeight="1">
      <c r="A22" s="6" t="s">
        <v>32</v>
      </c>
      <c r="B22" s="26" t="s">
        <v>33</v>
      </c>
      <c r="C22" s="26"/>
      <c r="D22" s="26"/>
      <c r="E22" s="26"/>
      <c r="F22" s="26"/>
    </row>
    <row r="23" spans="1:6" ht="15" customHeight="1">
      <c r="A23" s="6" t="s">
        <v>34</v>
      </c>
      <c r="B23" s="26" t="s">
        <v>35</v>
      </c>
      <c r="C23" s="26"/>
      <c r="D23" s="26"/>
      <c r="E23" s="26"/>
      <c r="F23" s="26"/>
    </row>
    <row r="24" spans="1:6" ht="15" customHeight="1">
      <c r="A24" s="6" t="s">
        <v>36</v>
      </c>
      <c r="B24" s="26" t="s">
        <v>37</v>
      </c>
      <c r="C24" s="26"/>
      <c r="D24" s="26"/>
      <c r="E24" s="26"/>
      <c r="F24" s="26"/>
    </row>
    <row r="25" spans="1:6" ht="15" customHeight="1">
      <c r="A25" s="6" t="s">
        <v>38</v>
      </c>
      <c r="B25" s="26" t="s">
        <v>39</v>
      </c>
      <c r="C25" s="26"/>
      <c r="D25" s="26"/>
      <c r="E25" s="26"/>
      <c r="F25" s="26"/>
    </row>
    <row r="26" spans="1:6" ht="15" customHeight="1">
      <c r="A26" s="6" t="s">
        <v>40</v>
      </c>
      <c r="B26" s="26" t="s">
        <v>41</v>
      </c>
      <c r="C26" s="26"/>
      <c r="D26" s="26"/>
      <c r="E26" s="26"/>
      <c r="F26" s="26"/>
    </row>
    <row r="27" spans="1:6" ht="15" customHeight="1">
      <c r="A27" s="6" t="s">
        <v>42</v>
      </c>
      <c r="B27" s="26" t="s">
        <v>43</v>
      </c>
      <c r="C27" s="26"/>
      <c r="D27" s="26"/>
      <c r="E27" s="26"/>
      <c r="F27" s="26"/>
    </row>
    <row r="28" spans="1:6" ht="15" customHeight="1">
      <c r="A28" s="6" t="s">
        <v>44</v>
      </c>
      <c r="B28" s="26" t="s">
        <v>45</v>
      </c>
      <c r="C28" s="26"/>
      <c r="D28" s="26"/>
      <c r="E28" s="26"/>
      <c r="F28" s="26"/>
    </row>
  </sheetData>
  <mergeCells count="19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25:F25"/>
    <mergeCell ref="B26:F26"/>
    <mergeCell ref="B27:F27"/>
    <mergeCell ref="B28:F28"/>
    <mergeCell ref="B20:F20"/>
    <mergeCell ref="B21:F21"/>
    <mergeCell ref="B22:F22"/>
    <mergeCell ref="B23:F23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0" customWidth="1"/>
    <col min="2" max="2" width="38" customWidth="1"/>
    <col min="3" max="3" width="10" customWidth="1"/>
    <col min="4" max="4" width="38" customWidth="1"/>
    <col min="5" max="5" width="32" customWidth="1"/>
    <col min="6" max="6" width="42" customWidth="1"/>
    <col min="7" max="7" width="38" customWidth="1"/>
    <col min="8" max="8" width="34" customWidth="1"/>
    <col min="9" max="9" width="18" customWidth="1"/>
    <col min="10" max="10" width="22" customWidth="1"/>
    <col min="11" max="11" width="34" customWidth="1"/>
    <col min="12" max="12" width="18" customWidth="1"/>
    <col min="13" max="13" width="22" customWidth="1"/>
    <col min="14" max="14" width="8" customWidth="1"/>
  </cols>
  <sheetData>
    <row r="1" spans="1:14" ht="21.75" customHeight="1">
      <c r="A1" s="21" t="s">
        <v>46</v>
      </c>
      <c r="B1" s="21"/>
      <c r="C1" s="22" t="s">
        <v>47</v>
      </c>
      <c r="D1" s="22"/>
      <c r="E1" s="22"/>
      <c r="F1" s="23" t="s">
        <v>48</v>
      </c>
      <c r="G1" s="23"/>
      <c r="H1" s="24" t="s">
        <v>49</v>
      </c>
      <c r="I1" s="24"/>
      <c r="J1" s="24"/>
      <c r="K1" s="25" t="s">
        <v>50</v>
      </c>
      <c r="L1" s="25"/>
      <c r="M1" s="25"/>
      <c r="N1" s="7" t="s">
        <v>51</v>
      </c>
    </row>
    <row r="2" spans="1:14" ht="43.5" customHeight="1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  <c r="J2" s="8" t="s">
        <v>61</v>
      </c>
      <c r="K2" s="8" t="s">
        <v>62</v>
      </c>
      <c r="L2" s="8" t="s">
        <v>60</v>
      </c>
      <c r="M2" s="8" t="s">
        <v>61</v>
      </c>
      <c r="N2" s="8" t="s">
        <v>63</v>
      </c>
    </row>
    <row r="3" spans="1:14" ht="120" customHeight="1">
      <c r="A3" s="27" t="s">
        <v>64</v>
      </c>
      <c r="B3" s="27" t="s">
        <v>65</v>
      </c>
      <c r="C3" s="27" t="s">
        <v>66</v>
      </c>
      <c r="D3" s="27" t="s">
        <v>67</v>
      </c>
      <c r="E3" s="27" t="s">
        <v>68</v>
      </c>
      <c r="F3" s="27" t="s">
        <v>69</v>
      </c>
      <c r="G3" s="27" t="s">
        <v>70</v>
      </c>
      <c r="H3" s="27" t="s">
        <v>71</v>
      </c>
      <c r="I3" s="27" t="s">
        <v>72</v>
      </c>
      <c r="J3" s="27" t="s">
        <v>73</v>
      </c>
      <c r="K3" s="27" t="s">
        <v>74</v>
      </c>
      <c r="L3" s="27" t="s">
        <v>75</v>
      </c>
      <c r="M3" s="27" t="s">
        <v>76</v>
      </c>
      <c r="N3" s="27" t="s">
        <v>77</v>
      </c>
    </row>
    <row r="4" spans="1:14" ht="120" customHeight="1">
      <c r="A4" s="28" t="s">
        <v>78</v>
      </c>
      <c r="B4" s="28" t="s">
        <v>79</v>
      </c>
      <c r="C4" s="28" t="s">
        <v>80</v>
      </c>
      <c r="D4" s="28" t="s">
        <v>81</v>
      </c>
      <c r="E4" s="28" t="s">
        <v>82</v>
      </c>
      <c r="F4" s="28" t="s">
        <v>83</v>
      </c>
      <c r="G4" s="28" t="s">
        <v>84</v>
      </c>
      <c r="H4" s="28" t="s">
        <v>85</v>
      </c>
      <c r="I4" s="28" t="s">
        <v>72</v>
      </c>
      <c r="J4" s="28" t="s">
        <v>86</v>
      </c>
      <c r="K4" s="28" t="s">
        <v>87</v>
      </c>
      <c r="L4" s="28" t="s">
        <v>88</v>
      </c>
      <c r="M4" s="28" t="s">
        <v>89</v>
      </c>
      <c r="N4" s="28" t="s">
        <v>77</v>
      </c>
    </row>
    <row r="5" spans="1:14" ht="120" customHeight="1">
      <c r="A5" s="27" t="s">
        <v>90</v>
      </c>
      <c r="B5" s="27" t="s">
        <v>91</v>
      </c>
      <c r="C5" s="27" t="s">
        <v>92</v>
      </c>
      <c r="D5" s="27" t="s">
        <v>93</v>
      </c>
      <c r="E5" s="27" t="s">
        <v>94</v>
      </c>
      <c r="F5" s="27" t="s">
        <v>95</v>
      </c>
      <c r="G5" s="27" t="s">
        <v>96</v>
      </c>
      <c r="H5" s="27" t="s">
        <v>97</v>
      </c>
      <c r="I5" s="27" t="s">
        <v>98</v>
      </c>
      <c r="J5" s="27" t="s">
        <v>99</v>
      </c>
      <c r="K5" s="27" t="s">
        <v>100</v>
      </c>
      <c r="L5" s="27" t="s">
        <v>88</v>
      </c>
      <c r="M5" s="27" t="s">
        <v>101</v>
      </c>
      <c r="N5" s="27" t="s">
        <v>77</v>
      </c>
    </row>
    <row r="6" spans="1:14" ht="120" customHeight="1">
      <c r="A6" s="28" t="s">
        <v>102</v>
      </c>
      <c r="B6" s="28" t="s">
        <v>103</v>
      </c>
      <c r="C6" s="28" t="s">
        <v>104</v>
      </c>
      <c r="D6" s="28" t="s">
        <v>105</v>
      </c>
      <c r="E6" s="28" t="s">
        <v>106</v>
      </c>
      <c r="F6" s="28" t="s">
        <v>107</v>
      </c>
      <c r="G6" s="28" t="s">
        <v>108</v>
      </c>
      <c r="H6" s="28" t="s">
        <v>109</v>
      </c>
      <c r="I6" s="28" t="s">
        <v>98</v>
      </c>
      <c r="J6" s="28" t="s">
        <v>110</v>
      </c>
      <c r="K6" s="28" t="s">
        <v>111</v>
      </c>
      <c r="L6" s="28" t="s">
        <v>88</v>
      </c>
      <c r="M6" s="28" t="s">
        <v>112</v>
      </c>
      <c r="N6" s="28" t="s">
        <v>77</v>
      </c>
    </row>
    <row r="7" spans="1:14" ht="120" customHeight="1">
      <c r="A7" s="27" t="s">
        <v>113</v>
      </c>
      <c r="B7" s="27" t="s">
        <v>114</v>
      </c>
      <c r="C7" s="27" t="s">
        <v>115</v>
      </c>
      <c r="D7" s="27" t="s">
        <v>116</v>
      </c>
      <c r="E7" s="27" t="s">
        <v>117</v>
      </c>
      <c r="F7" s="27" t="s">
        <v>118</v>
      </c>
      <c r="G7" s="27" t="s">
        <v>119</v>
      </c>
      <c r="H7" s="27" t="s">
        <v>120</v>
      </c>
      <c r="I7" s="27" t="s">
        <v>121</v>
      </c>
      <c r="J7" s="27" t="s">
        <v>122</v>
      </c>
      <c r="K7" s="27" t="s">
        <v>123</v>
      </c>
      <c r="L7" s="27" t="s">
        <v>124</v>
      </c>
      <c r="M7" s="27" t="s">
        <v>125</v>
      </c>
      <c r="N7" s="27" t="s">
        <v>77</v>
      </c>
    </row>
    <row r="8" spans="1:14" ht="120" customHeight="1">
      <c r="A8" s="28" t="s">
        <v>126</v>
      </c>
      <c r="B8" s="28" t="s">
        <v>127</v>
      </c>
      <c r="C8" s="28" t="s">
        <v>128</v>
      </c>
      <c r="D8" s="28" t="s">
        <v>129</v>
      </c>
      <c r="E8" s="28" t="s">
        <v>130</v>
      </c>
      <c r="F8" s="28" t="s">
        <v>131</v>
      </c>
      <c r="G8" s="28" t="s">
        <v>132</v>
      </c>
      <c r="H8" s="28" t="s">
        <v>133</v>
      </c>
      <c r="I8" s="28" t="s">
        <v>98</v>
      </c>
      <c r="J8" s="28" t="s">
        <v>134</v>
      </c>
      <c r="K8" s="28" t="s">
        <v>135</v>
      </c>
      <c r="L8" s="28" t="s">
        <v>88</v>
      </c>
      <c r="M8" s="28" t="s">
        <v>136</v>
      </c>
      <c r="N8" s="28" t="s">
        <v>77</v>
      </c>
    </row>
    <row r="9" spans="1:14" ht="120" customHeight="1">
      <c r="A9" s="27" t="s">
        <v>137</v>
      </c>
      <c r="B9" s="27" t="s">
        <v>138</v>
      </c>
      <c r="C9" s="27" t="s">
        <v>139</v>
      </c>
      <c r="D9" s="27" t="s">
        <v>140</v>
      </c>
      <c r="E9" s="27" t="s">
        <v>141</v>
      </c>
      <c r="F9" s="27" t="s">
        <v>142</v>
      </c>
      <c r="G9" s="27" t="s">
        <v>143</v>
      </c>
      <c r="H9" s="27" t="s">
        <v>144</v>
      </c>
      <c r="I9" s="27" t="s">
        <v>98</v>
      </c>
      <c r="J9" s="27" t="s">
        <v>145</v>
      </c>
      <c r="K9" s="27" t="s">
        <v>146</v>
      </c>
      <c r="L9" s="27" t="s">
        <v>88</v>
      </c>
      <c r="M9" s="27" t="s">
        <v>147</v>
      </c>
      <c r="N9" s="27" t="s">
        <v>77</v>
      </c>
    </row>
    <row r="10" spans="1:14" ht="120" customHeight="1">
      <c r="A10" s="28" t="s">
        <v>148</v>
      </c>
      <c r="B10" s="28" t="s">
        <v>149</v>
      </c>
      <c r="C10" s="28" t="s">
        <v>150</v>
      </c>
      <c r="D10" s="28" t="s">
        <v>151</v>
      </c>
      <c r="E10" s="28" t="s">
        <v>152</v>
      </c>
      <c r="F10" s="28" t="s">
        <v>153</v>
      </c>
      <c r="G10" s="28" t="s">
        <v>154</v>
      </c>
      <c r="H10" s="28" t="s">
        <v>155</v>
      </c>
      <c r="I10" s="28" t="s">
        <v>98</v>
      </c>
      <c r="J10" s="28" t="s">
        <v>156</v>
      </c>
      <c r="K10" s="28" t="s">
        <v>157</v>
      </c>
      <c r="L10" s="28" t="s">
        <v>88</v>
      </c>
      <c r="M10" s="28" t="s">
        <v>158</v>
      </c>
      <c r="N10" s="28" t="s">
        <v>77</v>
      </c>
    </row>
    <row r="11" spans="1:14" ht="120" customHeight="1">
      <c r="A11" s="27" t="s">
        <v>159</v>
      </c>
      <c r="B11" s="27" t="s">
        <v>160</v>
      </c>
      <c r="C11" s="27" t="s">
        <v>161</v>
      </c>
      <c r="D11" s="27" t="s">
        <v>162</v>
      </c>
      <c r="E11" s="27" t="s">
        <v>163</v>
      </c>
      <c r="F11" s="27" t="s">
        <v>164</v>
      </c>
      <c r="G11" s="27" t="s">
        <v>165</v>
      </c>
      <c r="H11" s="27" t="s">
        <v>166</v>
      </c>
      <c r="I11" s="27" t="s">
        <v>98</v>
      </c>
      <c r="J11" s="27" t="s">
        <v>167</v>
      </c>
      <c r="K11" s="27" t="s">
        <v>168</v>
      </c>
      <c r="L11" s="27" t="s">
        <v>169</v>
      </c>
      <c r="M11" s="27" t="s">
        <v>170</v>
      </c>
      <c r="N11" s="27" t="s">
        <v>77</v>
      </c>
    </row>
    <row r="12" spans="1:14" ht="120" customHeight="1">
      <c r="A12" s="28" t="s">
        <v>171</v>
      </c>
      <c r="B12" s="28" t="s">
        <v>172</v>
      </c>
      <c r="C12" s="28" t="s">
        <v>173</v>
      </c>
      <c r="D12" s="28" t="s">
        <v>174</v>
      </c>
      <c r="E12" s="28" t="s">
        <v>175</v>
      </c>
      <c r="F12" s="28" t="s">
        <v>176</v>
      </c>
      <c r="G12" s="28" t="s">
        <v>177</v>
      </c>
      <c r="H12" s="28" t="s">
        <v>178</v>
      </c>
      <c r="I12" s="28" t="s">
        <v>98</v>
      </c>
      <c r="J12" s="28" t="s">
        <v>179</v>
      </c>
      <c r="K12" s="28" t="s">
        <v>180</v>
      </c>
      <c r="L12" s="28" t="s">
        <v>181</v>
      </c>
      <c r="M12" s="28" t="s">
        <v>182</v>
      </c>
      <c r="N12" s="28" t="s">
        <v>77</v>
      </c>
    </row>
    <row r="13" spans="1:14" ht="120" customHeight="1">
      <c r="A13" s="27" t="s">
        <v>183</v>
      </c>
      <c r="B13" s="27" t="s">
        <v>184</v>
      </c>
      <c r="C13" s="27" t="s">
        <v>185</v>
      </c>
      <c r="D13" s="27" t="s">
        <v>186</v>
      </c>
      <c r="E13" s="27" t="s">
        <v>187</v>
      </c>
      <c r="F13" s="27" t="s">
        <v>188</v>
      </c>
      <c r="G13" s="27" t="s">
        <v>189</v>
      </c>
      <c r="H13" s="27" t="s">
        <v>190</v>
      </c>
      <c r="I13" s="27" t="s">
        <v>98</v>
      </c>
      <c r="J13" s="27" t="s">
        <v>191</v>
      </c>
      <c r="K13" s="27" t="s">
        <v>192</v>
      </c>
      <c r="L13" s="27" t="s">
        <v>193</v>
      </c>
      <c r="M13" s="27" t="s">
        <v>194</v>
      </c>
      <c r="N13" s="27" t="s">
        <v>77</v>
      </c>
    </row>
    <row r="14" spans="1:14" ht="120" customHeight="1">
      <c r="A14" s="28" t="s">
        <v>195</v>
      </c>
      <c r="B14" s="28" t="s">
        <v>196</v>
      </c>
      <c r="C14" s="28" t="s">
        <v>197</v>
      </c>
      <c r="D14" s="28" t="s">
        <v>198</v>
      </c>
      <c r="E14" s="28" t="s">
        <v>199</v>
      </c>
      <c r="F14" s="28" t="s">
        <v>200</v>
      </c>
      <c r="G14" s="28" t="s">
        <v>201</v>
      </c>
      <c r="H14" s="28" t="s">
        <v>202</v>
      </c>
      <c r="I14" s="28" t="s">
        <v>193</v>
      </c>
      <c r="J14" s="28" t="s">
        <v>203</v>
      </c>
      <c r="K14" s="28" t="s">
        <v>204</v>
      </c>
      <c r="L14" s="28" t="s">
        <v>205</v>
      </c>
      <c r="M14" s="28" t="s">
        <v>206</v>
      </c>
      <c r="N14" s="28" t="s">
        <v>77</v>
      </c>
    </row>
    <row r="15" spans="1:14" ht="120" customHeight="1">
      <c r="A15" s="27" t="s">
        <v>207</v>
      </c>
      <c r="B15" s="27" t="s">
        <v>208</v>
      </c>
      <c r="C15" s="27" t="s">
        <v>209</v>
      </c>
      <c r="D15" s="27" t="s">
        <v>210</v>
      </c>
      <c r="E15" s="27" t="s">
        <v>211</v>
      </c>
      <c r="F15" s="27" t="s">
        <v>212</v>
      </c>
      <c r="G15" s="27" t="s">
        <v>213</v>
      </c>
      <c r="H15" s="27" t="s">
        <v>214</v>
      </c>
      <c r="I15" s="27" t="s">
        <v>215</v>
      </c>
      <c r="J15" s="27" t="s">
        <v>216</v>
      </c>
      <c r="K15" s="27" t="s">
        <v>217</v>
      </c>
      <c r="L15" s="27" t="s">
        <v>88</v>
      </c>
      <c r="M15" s="27" t="s">
        <v>218</v>
      </c>
      <c r="N15" s="27" t="s">
        <v>77</v>
      </c>
    </row>
    <row r="16" spans="1:14" ht="120" customHeight="1">
      <c r="A16" s="28" t="s">
        <v>219</v>
      </c>
      <c r="B16" s="28" t="s">
        <v>220</v>
      </c>
      <c r="C16" s="28" t="s">
        <v>221</v>
      </c>
      <c r="D16" s="28" t="s">
        <v>222</v>
      </c>
      <c r="E16" s="28" t="s">
        <v>223</v>
      </c>
      <c r="F16" s="28" t="s">
        <v>224</v>
      </c>
      <c r="G16" s="28" t="s">
        <v>225</v>
      </c>
      <c r="H16" s="28" t="s">
        <v>226</v>
      </c>
      <c r="I16" s="28" t="s">
        <v>227</v>
      </c>
      <c r="J16" s="28" t="s">
        <v>228</v>
      </c>
      <c r="K16" s="28" t="s">
        <v>229</v>
      </c>
      <c r="L16" s="28" t="s">
        <v>230</v>
      </c>
      <c r="M16" s="28" t="s">
        <v>231</v>
      </c>
      <c r="N16" s="28" t="s">
        <v>232</v>
      </c>
    </row>
  </sheetData>
  <mergeCells count="5">
    <mergeCell ref="A1:B1"/>
    <mergeCell ref="C1:E1"/>
    <mergeCell ref="F1:G1"/>
    <mergeCell ref="H1:J1"/>
    <mergeCell ref="K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7" width="18" customWidth="1"/>
    <col min="8" max="8" width="40" customWidth="1"/>
  </cols>
  <sheetData>
    <row r="1" spans="1:8" ht="27.75" customHeight="1">
      <c r="A1" s="20" t="s">
        <v>233</v>
      </c>
      <c r="B1" s="20"/>
      <c r="C1" s="20"/>
      <c r="D1" s="20"/>
      <c r="E1" s="20"/>
      <c r="F1" s="20"/>
      <c r="G1" s="20"/>
      <c r="H1" s="20"/>
    </row>
    <row r="2" spans="1:8" ht="36" customHeight="1">
      <c r="A2" s="9" t="s">
        <v>234</v>
      </c>
      <c r="B2" s="26" t="s">
        <v>235</v>
      </c>
      <c r="C2" s="26"/>
      <c r="D2" s="26"/>
      <c r="E2" s="26"/>
      <c r="F2" s="26"/>
      <c r="G2" s="26"/>
      <c r="H2" s="26"/>
    </row>
    <row r="4" spans="1:8" ht="36" customHeight="1">
      <c r="A4" s="2" t="s">
        <v>236</v>
      </c>
      <c r="B4" s="2" t="s">
        <v>237</v>
      </c>
      <c r="C4" s="1" t="s">
        <v>238</v>
      </c>
      <c r="D4" s="2" t="s">
        <v>239</v>
      </c>
      <c r="E4" s="2" t="s">
        <v>240</v>
      </c>
      <c r="F4" s="2" t="s">
        <v>241</v>
      </c>
      <c r="G4" s="2" t="s">
        <v>242</v>
      </c>
      <c r="H4" s="2" t="s">
        <v>243</v>
      </c>
    </row>
    <row r="5" spans="1:8" ht="48" customHeight="1">
      <c r="A5" s="28" t="s">
        <v>244</v>
      </c>
      <c r="B5" s="10">
        <v>0.25</v>
      </c>
      <c r="C5" s="29">
        <v>5</v>
      </c>
      <c r="D5" s="29">
        <v>1</v>
      </c>
      <c r="E5" s="29">
        <v>1</v>
      </c>
      <c r="F5" s="29">
        <v>2</v>
      </c>
      <c r="G5" s="29">
        <v>1</v>
      </c>
      <c r="H5" s="28" t="s">
        <v>245</v>
      </c>
    </row>
    <row r="6" spans="1:8" ht="48" customHeight="1">
      <c r="A6" s="28" t="s">
        <v>246</v>
      </c>
      <c r="B6" s="10">
        <v>0.15</v>
      </c>
      <c r="C6" s="29">
        <v>5</v>
      </c>
      <c r="D6" s="29">
        <v>3</v>
      </c>
      <c r="E6" s="29">
        <v>5</v>
      </c>
      <c r="F6" s="29">
        <v>2</v>
      </c>
      <c r="G6" s="29">
        <v>3</v>
      </c>
      <c r="H6" s="28" t="s">
        <v>247</v>
      </c>
    </row>
    <row r="7" spans="1:8" ht="48" customHeight="1">
      <c r="A7" s="28" t="s">
        <v>248</v>
      </c>
      <c r="B7" s="10">
        <v>0.15</v>
      </c>
      <c r="C7" s="29">
        <v>4</v>
      </c>
      <c r="D7" s="29">
        <v>2</v>
      </c>
      <c r="E7" s="29">
        <v>2</v>
      </c>
      <c r="F7" s="29">
        <v>4</v>
      </c>
      <c r="G7" s="29">
        <v>5</v>
      </c>
      <c r="H7" s="28" t="s">
        <v>249</v>
      </c>
    </row>
    <row r="8" spans="1:8" ht="48" customHeight="1">
      <c r="A8" s="28" t="s">
        <v>250</v>
      </c>
      <c r="B8" s="10">
        <v>0.1</v>
      </c>
      <c r="C8" s="29">
        <v>5</v>
      </c>
      <c r="D8" s="29">
        <v>5</v>
      </c>
      <c r="E8" s="29">
        <v>5</v>
      </c>
      <c r="F8" s="29">
        <v>3</v>
      </c>
      <c r="G8" s="29">
        <v>3</v>
      </c>
      <c r="H8" s="28" t="s">
        <v>251</v>
      </c>
    </row>
    <row r="9" spans="1:8" ht="48" customHeight="1">
      <c r="A9" s="28" t="s">
        <v>252</v>
      </c>
      <c r="B9" s="10">
        <v>0.1</v>
      </c>
      <c r="C9" s="29">
        <v>5</v>
      </c>
      <c r="D9" s="29">
        <v>5</v>
      </c>
      <c r="E9" s="29">
        <v>5</v>
      </c>
      <c r="F9" s="29">
        <v>4</v>
      </c>
      <c r="G9" s="29">
        <v>5</v>
      </c>
      <c r="H9" s="28" t="s">
        <v>253</v>
      </c>
    </row>
    <row r="10" spans="1:8" ht="48" customHeight="1">
      <c r="A10" s="28" t="s">
        <v>254</v>
      </c>
      <c r="B10" s="10">
        <v>0.1</v>
      </c>
      <c r="C10" s="29">
        <v>4</v>
      </c>
      <c r="D10" s="29">
        <v>5</v>
      </c>
      <c r="E10" s="29">
        <v>4</v>
      </c>
      <c r="F10" s="29">
        <v>3</v>
      </c>
      <c r="G10" s="29">
        <v>2</v>
      </c>
      <c r="H10" s="28" t="s">
        <v>255</v>
      </c>
    </row>
    <row r="11" spans="1:8" ht="48" customHeight="1">
      <c r="A11" s="28" t="s">
        <v>256</v>
      </c>
      <c r="B11" s="10">
        <v>0.15</v>
      </c>
      <c r="C11" s="29">
        <v>4</v>
      </c>
      <c r="D11" s="29">
        <v>3</v>
      </c>
      <c r="E11" s="29">
        <v>2</v>
      </c>
      <c r="F11" s="29">
        <v>3</v>
      </c>
      <c r="G11" s="29">
        <v>3</v>
      </c>
      <c r="H11" s="28" t="s">
        <v>257</v>
      </c>
    </row>
    <row r="12" spans="1:8">
      <c r="A12" s="11" t="s">
        <v>258</v>
      </c>
      <c r="B12" s="12">
        <f>SUM(B5:B11)</f>
        <v>1</v>
      </c>
      <c r="C12" s="13"/>
      <c r="D12" s="13"/>
      <c r="E12" s="13"/>
      <c r="F12" s="13"/>
      <c r="G12" s="13"/>
      <c r="H12" s="13"/>
    </row>
    <row r="13" spans="1:8">
      <c r="A13" s="13"/>
      <c r="B13" s="13"/>
      <c r="C13" s="13"/>
      <c r="D13" s="13"/>
      <c r="E13" s="13"/>
      <c r="F13" s="13"/>
      <c r="G13" s="13"/>
      <c r="H13" s="13"/>
    </row>
    <row r="14" spans="1:8">
      <c r="A14" s="14" t="s">
        <v>259</v>
      </c>
      <c r="B14" s="13"/>
      <c r="C14" s="15">
        <f>C5*B5+C6*B6+C7*B7+C8*B8+C9*B9+C10*B10+C11*B11</f>
        <v>4.5999999999999996</v>
      </c>
      <c r="D14" s="16">
        <f>D5*B5+D6*B6+D7*B7+D8*B8+D9*B9+D10*B10+D11*B11</f>
        <v>2.95</v>
      </c>
      <c r="E14" s="16">
        <f>E5*B5+E6*B6+E7*B7+E8*B8+E9*B9+E10*B10+E11*B11</f>
        <v>2.9999999999999996</v>
      </c>
      <c r="F14" s="16">
        <f>F5*B5+F6*B6+F7*B7+F8*B8+F9*B9+F10*B10+F11*B11</f>
        <v>2.8500000000000005</v>
      </c>
      <c r="G14" s="16">
        <f>G5*B5+G6*B6+G7*B7+G8*B8+G9*B9+G10*B10+G11*B11</f>
        <v>2.9000000000000004</v>
      </c>
      <c r="H14" s="13"/>
    </row>
    <row r="15" spans="1:8">
      <c r="A15" s="14" t="s">
        <v>260</v>
      </c>
      <c r="B15" s="13"/>
      <c r="C15" s="17">
        <f>RANK(C14,C14:G14,0)</f>
        <v>1</v>
      </c>
      <c r="D15" s="17">
        <f>RANK(D14,C14:G14,0)</f>
        <v>3</v>
      </c>
      <c r="E15" s="17">
        <f>RANK(E14,C14:G14,0)</f>
        <v>2</v>
      </c>
      <c r="F15" s="17">
        <f>RANK(F14,C14:G14,0)</f>
        <v>5</v>
      </c>
      <c r="G15" s="17">
        <f>RANK(G14,C14:G14,0)</f>
        <v>4</v>
      </c>
      <c r="H15" s="13"/>
    </row>
    <row r="17" spans="1:8" ht="69.75" customHeight="1">
      <c r="A17" s="18" t="s">
        <v>261</v>
      </c>
      <c r="B17" s="26" t="s">
        <v>262</v>
      </c>
      <c r="C17" s="26"/>
      <c r="D17" s="26"/>
      <c r="E17" s="26"/>
      <c r="F17" s="26"/>
      <c r="G17" s="26"/>
      <c r="H17" s="26"/>
    </row>
    <row r="18" spans="1:8" ht="60" customHeight="1">
      <c r="A18" s="18" t="s">
        <v>263</v>
      </c>
      <c r="B18" s="26" t="s">
        <v>264</v>
      </c>
      <c r="C18" s="26"/>
      <c r="D18" s="26"/>
      <c r="E18" s="26"/>
      <c r="F18" s="26"/>
      <c r="G18" s="26"/>
      <c r="H18" s="26"/>
    </row>
  </sheetData>
  <mergeCells count="4">
    <mergeCell ref="A1:H1"/>
    <mergeCell ref="B2:H2"/>
    <mergeCell ref="B17:H17"/>
    <mergeCell ref="B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6" width="18" customWidth="1"/>
    <col min="7" max="7" width="40" customWidth="1"/>
  </cols>
  <sheetData>
    <row r="1" spans="1:7" ht="27.75" customHeight="1">
      <c r="A1" s="20" t="s">
        <v>265</v>
      </c>
      <c r="B1" s="20"/>
      <c r="C1" s="20"/>
      <c r="D1" s="20"/>
      <c r="E1" s="20"/>
      <c r="F1" s="20"/>
      <c r="G1" s="20"/>
    </row>
    <row r="2" spans="1:7" ht="36" customHeight="1">
      <c r="A2" s="9" t="s">
        <v>234</v>
      </c>
      <c r="B2" s="26" t="s">
        <v>266</v>
      </c>
      <c r="C2" s="26"/>
      <c r="D2" s="26"/>
      <c r="E2" s="26"/>
      <c r="F2" s="26"/>
      <c r="G2" s="26"/>
    </row>
    <row r="4" spans="1:7" ht="36" customHeight="1">
      <c r="A4" s="2" t="s">
        <v>236</v>
      </c>
      <c r="B4" s="2" t="s">
        <v>237</v>
      </c>
      <c r="C4" s="1" t="s">
        <v>267</v>
      </c>
      <c r="D4" s="2" t="s">
        <v>268</v>
      </c>
      <c r="E4" s="2" t="s">
        <v>269</v>
      </c>
      <c r="F4" s="2" t="s">
        <v>270</v>
      </c>
      <c r="G4" s="2" t="s">
        <v>243</v>
      </c>
    </row>
    <row r="5" spans="1:7" ht="48" customHeight="1">
      <c r="A5" s="28" t="s">
        <v>271</v>
      </c>
      <c r="B5" s="10">
        <v>0.3</v>
      </c>
      <c r="C5" s="29">
        <v>5</v>
      </c>
      <c r="D5" s="29">
        <v>1</v>
      </c>
      <c r="E5" s="29">
        <v>4</v>
      </c>
      <c r="F5" s="29">
        <v>2</v>
      </c>
      <c r="G5" s="28" t="s">
        <v>272</v>
      </c>
    </row>
    <row r="6" spans="1:7" ht="48" customHeight="1">
      <c r="A6" s="28" t="s">
        <v>273</v>
      </c>
      <c r="B6" s="10">
        <v>0.15</v>
      </c>
      <c r="C6" s="29">
        <v>5</v>
      </c>
      <c r="D6" s="29">
        <v>4</v>
      </c>
      <c r="E6" s="29">
        <v>5</v>
      </c>
      <c r="F6" s="29">
        <v>5</v>
      </c>
      <c r="G6" s="28" t="s">
        <v>274</v>
      </c>
    </row>
    <row r="7" spans="1:7" ht="48" customHeight="1">
      <c r="A7" s="28" t="s">
        <v>275</v>
      </c>
      <c r="B7" s="10">
        <v>0.15</v>
      </c>
      <c r="C7" s="29">
        <v>4</v>
      </c>
      <c r="D7" s="29">
        <v>5</v>
      </c>
      <c r="E7" s="29">
        <v>2</v>
      </c>
      <c r="F7" s="29">
        <v>3</v>
      </c>
      <c r="G7" s="28" t="s">
        <v>276</v>
      </c>
    </row>
    <row r="8" spans="1:7" ht="48" customHeight="1">
      <c r="A8" s="28" t="s">
        <v>277</v>
      </c>
      <c r="B8" s="10">
        <v>0.1</v>
      </c>
      <c r="C8" s="29">
        <v>5</v>
      </c>
      <c r="D8" s="29">
        <v>5</v>
      </c>
      <c r="E8" s="29">
        <v>2</v>
      </c>
      <c r="F8" s="29">
        <v>4</v>
      </c>
      <c r="G8" s="28" t="s">
        <v>278</v>
      </c>
    </row>
    <row r="9" spans="1:7" ht="48" customHeight="1">
      <c r="A9" s="28" t="s">
        <v>279</v>
      </c>
      <c r="B9" s="10">
        <v>0.15</v>
      </c>
      <c r="C9" s="29">
        <v>5</v>
      </c>
      <c r="D9" s="29">
        <v>4</v>
      </c>
      <c r="E9" s="29">
        <v>4</v>
      </c>
      <c r="F9" s="29">
        <v>3</v>
      </c>
      <c r="G9" s="28" t="s">
        <v>280</v>
      </c>
    </row>
    <row r="10" spans="1:7" ht="48" customHeight="1">
      <c r="A10" s="28" t="s">
        <v>281</v>
      </c>
      <c r="B10" s="10">
        <v>0.15</v>
      </c>
      <c r="C10" s="29">
        <v>4</v>
      </c>
      <c r="D10" s="29">
        <v>3</v>
      </c>
      <c r="E10" s="29">
        <v>3</v>
      </c>
      <c r="F10" s="29">
        <v>5</v>
      </c>
      <c r="G10" s="28" t="s">
        <v>282</v>
      </c>
    </row>
    <row r="11" spans="1:7">
      <c r="A11" s="11" t="s">
        <v>258</v>
      </c>
      <c r="B11" s="12">
        <f>SUM(B5:B10)</f>
        <v>1</v>
      </c>
      <c r="C11" s="13"/>
      <c r="D11" s="13"/>
      <c r="E11" s="13"/>
      <c r="F11" s="13"/>
      <c r="G11" s="13"/>
    </row>
    <row r="12" spans="1:7">
      <c r="A12" s="13"/>
      <c r="B12" s="13"/>
      <c r="C12" s="13"/>
      <c r="D12" s="13"/>
      <c r="E12" s="13"/>
      <c r="F12" s="13"/>
      <c r="G12" s="13"/>
    </row>
    <row r="13" spans="1:7">
      <c r="A13" s="14" t="s">
        <v>259</v>
      </c>
      <c r="B13" s="13"/>
      <c r="C13" s="15">
        <f>C5*B5+C6*B6+C7*B7+C8*B8+C9*B9+C10*B10</f>
        <v>4.6999999999999993</v>
      </c>
      <c r="D13" s="16">
        <f>D5*B5+D6*B6+D7*B7+D8*B8+D9*B9+D10*B10</f>
        <v>3.2</v>
      </c>
      <c r="E13" s="16">
        <f>E5*B5+E6*B6+E7*B7+E8*B8+E9*B9+E10*B10</f>
        <v>3.5</v>
      </c>
      <c r="F13" s="16">
        <f>F5*B5+F6*B6+F7*B7+F8*B8+F9*B9+F10*B10</f>
        <v>3.4000000000000004</v>
      </c>
      <c r="G13" s="13"/>
    </row>
    <row r="14" spans="1:7">
      <c r="A14" s="14" t="s">
        <v>260</v>
      </c>
      <c r="B14" s="13"/>
      <c r="C14" s="17">
        <f>RANK(C13,C13:F13,0)</f>
        <v>1</v>
      </c>
      <c r="D14" s="17">
        <f>RANK(D13,C13:F13,0)</f>
        <v>4</v>
      </c>
      <c r="E14" s="17">
        <f>RANK(E13,C13:F13,0)</f>
        <v>2</v>
      </c>
      <c r="F14" s="17">
        <f>RANK(F13,C13:F13,0)</f>
        <v>3</v>
      </c>
      <c r="G14" s="13"/>
    </row>
    <row r="16" spans="1:7" ht="69.75" customHeight="1">
      <c r="A16" s="18" t="s">
        <v>261</v>
      </c>
      <c r="B16" s="26" t="s">
        <v>283</v>
      </c>
      <c r="C16" s="26"/>
      <c r="D16" s="26"/>
      <c r="E16" s="26"/>
      <c r="F16" s="26"/>
      <c r="G16" s="26"/>
    </row>
    <row r="17" spans="1:7" ht="60" customHeight="1">
      <c r="A17" s="18" t="s">
        <v>263</v>
      </c>
      <c r="B17" s="26" t="s">
        <v>284</v>
      </c>
      <c r="C17" s="26"/>
      <c r="D17" s="26"/>
      <c r="E17" s="26"/>
      <c r="F17" s="26"/>
      <c r="G17" s="26"/>
    </row>
  </sheetData>
  <mergeCells count="4">
    <mergeCell ref="A1:G1"/>
    <mergeCell ref="B2:G2"/>
    <mergeCell ref="B16:G16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7" width="18" customWidth="1"/>
    <col min="8" max="8" width="40" customWidth="1"/>
  </cols>
  <sheetData>
    <row r="1" spans="1:8" ht="27.75" customHeight="1">
      <c r="A1" s="20" t="s">
        <v>285</v>
      </c>
      <c r="B1" s="20"/>
      <c r="C1" s="20"/>
      <c r="D1" s="20"/>
      <c r="E1" s="20"/>
      <c r="F1" s="20"/>
      <c r="G1" s="20"/>
      <c r="H1" s="20"/>
    </row>
    <row r="2" spans="1:8" ht="36" customHeight="1">
      <c r="A2" s="9" t="s">
        <v>234</v>
      </c>
      <c r="B2" s="26" t="s">
        <v>286</v>
      </c>
      <c r="C2" s="26"/>
      <c r="D2" s="26"/>
      <c r="E2" s="26"/>
      <c r="F2" s="26"/>
      <c r="G2" s="26"/>
      <c r="H2" s="26"/>
    </row>
    <row r="4" spans="1:8" ht="36" customHeight="1">
      <c r="A4" s="2" t="s">
        <v>236</v>
      </c>
      <c r="B4" s="2" t="s">
        <v>237</v>
      </c>
      <c r="C4" s="1" t="s">
        <v>287</v>
      </c>
      <c r="D4" s="2" t="s">
        <v>288</v>
      </c>
      <c r="E4" s="2" t="s">
        <v>289</v>
      </c>
      <c r="F4" s="2" t="s">
        <v>290</v>
      </c>
      <c r="G4" s="2" t="s">
        <v>291</v>
      </c>
      <c r="H4" s="2" t="s">
        <v>243</v>
      </c>
    </row>
    <row r="5" spans="1:8" ht="48" customHeight="1">
      <c r="A5" s="28" t="s">
        <v>292</v>
      </c>
      <c r="B5" s="10">
        <v>0.25</v>
      </c>
      <c r="C5" s="29">
        <v>3</v>
      </c>
      <c r="D5" s="29">
        <v>5</v>
      </c>
      <c r="E5" s="29">
        <v>5</v>
      </c>
      <c r="F5" s="29">
        <v>2</v>
      </c>
      <c r="G5" s="29">
        <v>3</v>
      </c>
      <c r="H5" s="28" t="s">
        <v>293</v>
      </c>
    </row>
    <row r="6" spans="1:8" ht="48" customHeight="1">
      <c r="A6" s="28" t="s">
        <v>294</v>
      </c>
      <c r="B6" s="10">
        <v>0.2</v>
      </c>
      <c r="C6" s="29">
        <v>2</v>
      </c>
      <c r="D6" s="29">
        <v>5</v>
      </c>
      <c r="E6" s="29">
        <v>5</v>
      </c>
      <c r="F6" s="29">
        <v>1</v>
      </c>
      <c r="G6" s="29">
        <v>4</v>
      </c>
      <c r="H6" s="28" t="s">
        <v>295</v>
      </c>
    </row>
    <row r="7" spans="1:8" ht="48" customHeight="1">
      <c r="A7" s="28" t="s">
        <v>296</v>
      </c>
      <c r="B7" s="10">
        <v>0.15</v>
      </c>
      <c r="C7" s="29">
        <v>5</v>
      </c>
      <c r="D7" s="29">
        <v>3</v>
      </c>
      <c r="E7" s="29">
        <v>3</v>
      </c>
      <c r="F7" s="29">
        <v>5</v>
      </c>
      <c r="G7" s="29">
        <v>5</v>
      </c>
      <c r="H7" s="28" t="s">
        <v>297</v>
      </c>
    </row>
    <row r="8" spans="1:8" ht="48" customHeight="1">
      <c r="A8" s="28" t="s">
        <v>277</v>
      </c>
      <c r="B8" s="10">
        <v>0.15</v>
      </c>
      <c r="C8" s="29">
        <v>5</v>
      </c>
      <c r="D8" s="29">
        <v>3</v>
      </c>
      <c r="E8" s="29">
        <v>2</v>
      </c>
      <c r="F8" s="29">
        <v>5</v>
      </c>
      <c r="G8" s="29">
        <v>3</v>
      </c>
      <c r="H8" s="28" t="s">
        <v>298</v>
      </c>
    </row>
    <row r="9" spans="1:8" ht="48" customHeight="1">
      <c r="A9" s="28" t="s">
        <v>299</v>
      </c>
      <c r="B9" s="10">
        <v>0.1</v>
      </c>
      <c r="C9" s="29">
        <v>4</v>
      </c>
      <c r="D9" s="29">
        <v>5</v>
      </c>
      <c r="E9" s="29">
        <v>5</v>
      </c>
      <c r="F9" s="29">
        <v>5</v>
      </c>
      <c r="G9" s="29">
        <v>3</v>
      </c>
      <c r="H9" s="28" t="s">
        <v>300</v>
      </c>
    </row>
    <row r="10" spans="1:8" ht="48" customHeight="1">
      <c r="A10" s="28" t="s">
        <v>301</v>
      </c>
      <c r="B10" s="10">
        <v>0.15</v>
      </c>
      <c r="C10" s="29">
        <v>4</v>
      </c>
      <c r="D10" s="29">
        <v>4</v>
      </c>
      <c r="E10" s="29">
        <v>5</v>
      </c>
      <c r="F10" s="29">
        <v>3</v>
      </c>
      <c r="G10" s="29">
        <v>2</v>
      </c>
      <c r="H10" s="28" t="s">
        <v>302</v>
      </c>
    </row>
    <row r="11" spans="1:8">
      <c r="A11" s="11" t="s">
        <v>258</v>
      </c>
      <c r="B11" s="12">
        <f>SUM(B5:B10)</f>
        <v>1</v>
      </c>
      <c r="C11" s="13"/>
      <c r="D11" s="13"/>
      <c r="E11" s="13"/>
      <c r="F11" s="13"/>
      <c r="G11" s="13"/>
      <c r="H11" s="13"/>
    </row>
    <row r="12" spans="1:8">
      <c r="A12" s="13"/>
      <c r="B12" s="13"/>
      <c r="C12" s="13"/>
      <c r="D12" s="13"/>
      <c r="E12" s="13"/>
      <c r="F12" s="13"/>
      <c r="G12" s="13"/>
      <c r="H12" s="13"/>
    </row>
    <row r="13" spans="1:8">
      <c r="A13" s="14" t="s">
        <v>259</v>
      </c>
      <c r="B13" s="13"/>
      <c r="C13" s="15">
        <f>C5*B5+C6*B6+C7*B7+C8*B8+C9*B9+C10*B10</f>
        <v>3.65</v>
      </c>
      <c r="D13" s="16">
        <f>D5*B5+D6*B6+D7*B7+D8*B8+D9*B9+D10*B10</f>
        <v>4.25</v>
      </c>
      <c r="E13" s="16">
        <f>E5*B5+E6*B6+E7*B7+E8*B8+E9*B9+E10*B10</f>
        <v>4.25</v>
      </c>
      <c r="F13" s="16">
        <f>F5*B5+F6*B6+F7*B7+F8*B8+F9*B9+F10*B10</f>
        <v>3.1500000000000004</v>
      </c>
      <c r="G13" s="16">
        <f>G5*B5+G6*B6+G7*B7+G8*B8+G9*B9+G10*B10</f>
        <v>3.3499999999999996</v>
      </c>
      <c r="H13" s="13"/>
    </row>
    <row r="14" spans="1:8">
      <c r="A14" s="14" t="s">
        <v>260</v>
      </c>
      <c r="B14" s="13"/>
      <c r="C14" s="17">
        <f>RANK(C13,C13:G13,0)</f>
        <v>3</v>
      </c>
      <c r="D14" s="17">
        <f>RANK(D13,C13:G13,0)</f>
        <v>1</v>
      </c>
      <c r="E14" s="17">
        <f>RANK(E13,C13:G13,0)</f>
        <v>1</v>
      </c>
      <c r="F14" s="17">
        <f>RANK(F13,C13:G13,0)</f>
        <v>5</v>
      </c>
      <c r="G14" s="17">
        <f>RANK(G13,C13:G13,0)</f>
        <v>4</v>
      </c>
      <c r="H14" s="13"/>
    </row>
    <row r="16" spans="1:8" ht="69.75" customHeight="1">
      <c r="A16" s="18" t="s">
        <v>261</v>
      </c>
      <c r="B16" s="26" t="s">
        <v>303</v>
      </c>
      <c r="C16" s="26"/>
      <c r="D16" s="26"/>
      <c r="E16" s="26"/>
      <c r="F16" s="26"/>
      <c r="G16" s="26"/>
      <c r="H16" s="26"/>
    </row>
    <row r="17" spans="1:8" ht="60" customHeight="1">
      <c r="A17" s="18" t="s">
        <v>263</v>
      </c>
      <c r="B17" s="26" t="s">
        <v>304</v>
      </c>
      <c r="C17" s="26"/>
      <c r="D17" s="26"/>
      <c r="E17" s="26"/>
      <c r="F17" s="26"/>
      <c r="G17" s="26"/>
      <c r="H17" s="26"/>
    </row>
  </sheetData>
  <mergeCells count="4">
    <mergeCell ref="A1:H1"/>
    <mergeCell ref="B2:H2"/>
    <mergeCell ref="B16:H16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6" width="18" customWidth="1"/>
    <col min="7" max="7" width="40" customWidth="1"/>
  </cols>
  <sheetData>
    <row r="1" spans="1:7" ht="27.75" customHeight="1">
      <c r="A1" s="20" t="s">
        <v>305</v>
      </c>
      <c r="B1" s="20"/>
      <c r="C1" s="20"/>
      <c r="D1" s="20"/>
      <c r="E1" s="20"/>
      <c r="F1" s="20"/>
      <c r="G1" s="20"/>
    </row>
    <row r="2" spans="1:7" ht="36" customHeight="1">
      <c r="A2" s="9" t="s">
        <v>234</v>
      </c>
      <c r="B2" s="26" t="s">
        <v>306</v>
      </c>
      <c r="C2" s="26"/>
      <c r="D2" s="26"/>
      <c r="E2" s="26"/>
      <c r="F2" s="26"/>
      <c r="G2" s="26"/>
    </row>
    <row r="4" spans="1:7" ht="36" customHeight="1">
      <c r="A4" s="2" t="s">
        <v>236</v>
      </c>
      <c r="B4" s="2" t="s">
        <v>237</v>
      </c>
      <c r="C4" s="1" t="s">
        <v>307</v>
      </c>
      <c r="D4" s="2" t="s">
        <v>308</v>
      </c>
      <c r="E4" s="2" t="s">
        <v>309</v>
      </c>
      <c r="F4" s="2" t="s">
        <v>310</v>
      </c>
      <c r="G4" s="2" t="s">
        <v>243</v>
      </c>
    </row>
    <row r="5" spans="1:7" ht="48" customHeight="1">
      <c r="A5" s="28" t="s">
        <v>311</v>
      </c>
      <c r="B5" s="10">
        <v>0.35</v>
      </c>
      <c r="C5" s="29">
        <v>4</v>
      </c>
      <c r="D5" s="29">
        <v>3</v>
      </c>
      <c r="E5" s="29">
        <v>5</v>
      </c>
      <c r="F5" s="29">
        <v>3</v>
      </c>
      <c r="G5" s="28" t="s">
        <v>312</v>
      </c>
    </row>
    <row r="6" spans="1:7" ht="48" customHeight="1">
      <c r="A6" s="28" t="s">
        <v>277</v>
      </c>
      <c r="B6" s="10">
        <v>0.2</v>
      </c>
      <c r="C6" s="29">
        <v>5</v>
      </c>
      <c r="D6" s="29">
        <v>4</v>
      </c>
      <c r="E6" s="29">
        <v>1</v>
      </c>
      <c r="F6" s="29">
        <v>2</v>
      </c>
      <c r="G6" s="28" t="s">
        <v>313</v>
      </c>
    </row>
    <row r="7" spans="1:7" ht="48" customHeight="1">
      <c r="A7" s="28" t="s">
        <v>314</v>
      </c>
      <c r="B7" s="10">
        <v>0.15</v>
      </c>
      <c r="C7" s="29">
        <v>5</v>
      </c>
      <c r="D7" s="29">
        <v>3</v>
      </c>
      <c r="E7" s="29">
        <v>2</v>
      </c>
      <c r="F7" s="29">
        <v>2</v>
      </c>
      <c r="G7" s="28" t="s">
        <v>315</v>
      </c>
    </row>
    <row r="8" spans="1:7" ht="48" customHeight="1">
      <c r="A8" s="28" t="s">
        <v>316</v>
      </c>
      <c r="B8" s="10">
        <v>0.15</v>
      </c>
      <c r="C8" s="29">
        <v>5</v>
      </c>
      <c r="D8" s="29">
        <v>5</v>
      </c>
      <c r="E8" s="29">
        <v>1</v>
      </c>
      <c r="F8" s="29">
        <v>3</v>
      </c>
      <c r="G8" s="28" t="s">
        <v>317</v>
      </c>
    </row>
    <row r="9" spans="1:7" ht="48" customHeight="1">
      <c r="A9" s="28" t="s">
        <v>318</v>
      </c>
      <c r="B9" s="10">
        <v>0.15</v>
      </c>
      <c r="C9" s="29">
        <v>5</v>
      </c>
      <c r="D9" s="29">
        <v>4</v>
      </c>
      <c r="E9" s="29">
        <v>2</v>
      </c>
      <c r="F9" s="29">
        <v>3</v>
      </c>
      <c r="G9" s="28" t="s">
        <v>319</v>
      </c>
    </row>
    <row r="10" spans="1:7">
      <c r="A10" s="11" t="s">
        <v>258</v>
      </c>
      <c r="B10" s="12">
        <f>SUM(B5:B9)</f>
        <v>1</v>
      </c>
      <c r="C10" s="13"/>
      <c r="D10" s="13"/>
      <c r="E10" s="13"/>
      <c r="F10" s="13"/>
      <c r="G10" s="13"/>
    </row>
    <row r="11" spans="1:7">
      <c r="A11" s="13"/>
      <c r="B11" s="13"/>
      <c r="C11" s="13"/>
      <c r="D11" s="13"/>
      <c r="E11" s="13"/>
      <c r="F11" s="13"/>
      <c r="G11" s="13"/>
    </row>
    <row r="12" spans="1:7">
      <c r="A12" s="14" t="s">
        <v>259</v>
      </c>
      <c r="B12" s="13"/>
      <c r="C12" s="15">
        <f>C5*B5+C6*B6+C7*B7+C8*B8+C9*B9</f>
        <v>4.6500000000000004</v>
      </c>
      <c r="D12" s="16">
        <f>D5*B5+D6*B6+D7*B7+D8*B8+D9*B9</f>
        <v>3.65</v>
      </c>
      <c r="E12" s="16">
        <f>E5*B5+E6*B6+E7*B7+E8*B8+E9*B9</f>
        <v>2.6999999999999997</v>
      </c>
      <c r="F12" s="16">
        <f>F5*B5+F6*B6+F7*B7+F8*B8+F9*B9</f>
        <v>2.6499999999999995</v>
      </c>
      <c r="G12" s="13"/>
    </row>
    <row r="13" spans="1:7">
      <c r="A13" s="14" t="s">
        <v>260</v>
      </c>
      <c r="B13" s="13"/>
      <c r="C13" s="17">
        <f>RANK(C12,C12:F12,0)</f>
        <v>1</v>
      </c>
      <c r="D13" s="17">
        <f>RANK(D12,C12:F12,0)</f>
        <v>2</v>
      </c>
      <c r="E13" s="17">
        <f>RANK(E12,C12:F12,0)</f>
        <v>3</v>
      </c>
      <c r="F13" s="17">
        <f>RANK(F12,C12:F12,0)</f>
        <v>4</v>
      </c>
      <c r="G13" s="13"/>
    </row>
    <row r="15" spans="1:7" ht="69.75" customHeight="1">
      <c r="A15" s="18" t="s">
        <v>261</v>
      </c>
      <c r="B15" s="26" t="s">
        <v>320</v>
      </c>
      <c r="C15" s="26"/>
      <c r="D15" s="26"/>
      <c r="E15" s="26"/>
      <c r="F15" s="26"/>
      <c r="G15" s="26"/>
    </row>
    <row r="16" spans="1:7" ht="60" customHeight="1">
      <c r="A16" s="18" t="s">
        <v>263</v>
      </c>
      <c r="B16" s="26" t="s">
        <v>321</v>
      </c>
      <c r="C16" s="26"/>
      <c r="D16" s="26"/>
      <c r="E16" s="26"/>
      <c r="F16" s="26"/>
      <c r="G16" s="26"/>
    </row>
  </sheetData>
  <mergeCells count="4">
    <mergeCell ref="A1:G1"/>
    <mergeCell ref="B2:G2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Normal="100" workbookViewId="0"/>
  </sheetViews>
  <sheetFormatPr defaultColWidth="8.7109375" defaultRowHeight="15"/>
  <cols>
    <col min="1" max="1" width="24" customWidth="1"/>
    <col min="2" max="2" width="18" customWidth="1"/>
    <col min="3" max="3" width="55" customWidth="1"/>
    <col min="4" max="4" width="24" customWidth="1"/>
  </cols>
  <sheetData>
    <row r="1" spans="1:4" ht="24" customHeight="1">
      <c r="A1" s="30" t="s">
        <v>322</v>
      </c>
      <c r="B1" s="30"/>
      <c r="C1" s="30"/>
      <c r="D1" s="30"/>
    </row>
    <row r="3" spans="1:4">
      <c r="A3" s="2" t="s">
        <v>323</v>
      </c>
      <c r="B3" s="2" t="s">
        <v>324</v>
      </c>
      <c r="C3" s="2" t="s">
        <v>325</v>
      </c>
      <c r="D3" s="2" t="s">
        <v>326</v>
      </c>
    </row>
    <row r="4" spans="1:4" ht="42" customHeight="1">
      <c r="A4" s="28" t="s">
        <v>327</v>
      </c>
      <c r="B4" s="28" t="s">
        <v>328</v>
      </c>
      <c r="C4" s="28" t="s">
        <v>329</v>
      </c>
      <c r="D4" s="28" t="s">
        <v>330</v>
      </c>
    </row>
    <row r="5" spans="1:4" ht="42" customHeight="1">
      <c r="A5" s="28" t="s">
        <v>331</v>
      </c>
      <c r="B5" s="28" t="s">
        <v>332</v>
      </c>
      <c r="C5" s="28" t="s">
        <v>333</v>
      </c>
      <c r="D5" s="28" t="s">
        <v>115</v>
      </c>
    </row>
    <row r="6" spans="1:4" ht="42" customHeight="1">
      <c r="A6" s="28" t="s">
        <v>334</v>
      </c>
      <c r="B6" s="28" t="s">
        <v>335</v>
      </c>
      <c r="C6" s="28" t="s">
        <v>336</v>
      </c>
      <c r="D6" s="28" t="s">
        <v>337</v>
      </c>
    </row>
    <row r="7" spans="1:4" ht="42" customHeight="1">
      <c r="A7" s="28" t="s">
        <v>338</v>
      </c>
      <c r="B7" s="28" t="s">
        <v>339</v>
      </c>
      <c r="C7" s="28" t="s">
        <v>340</v>
      </c>
      <c r="D7" s="28" t="s">
        <v>197</v>
      </c>
    </row>
    <row r="8" spans="1:4" ht="42" customHeight="1">
      <c r="A8" s="28" t="s">
        <v>341</v>
      </c>
      <c r="B8" s="28" t="s">
        <v>342</v>
      </c>
      <c r="C8" s="28" t="s">
        <v>343</v>
      </c>
      <c r="D8" s="28" t="s">
        <v>197</v>
      </c>
    </row>
    <row r="9" spans="1:4" ht="42" customHeight="1">
      <c r="A9" s="28" t="s">
        <v>344</v>
      </c>
      <c r="B9" s="28" t="s">
        <v>342</v>
      </c>
      <c r="C9" s="28" t="s">
        <v>345</v>
      </c>
      <c r="D9" s="28" t="s">
        <v>150</v>
      </c>
    </row>
    <row r="10" spans="1:4" ht="42" customHeight="1">
      <c r="A10" s="28" t="s">
        <v>346</v>
      </c>
      <c r="B10" s="28" t="s">
        <v>342</v>
      </c>
      <c r="C10" s="28" t="s">
        <v>347</v>
      </c>
      <c r="D10" s="28" t="s">
        <v>348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zoomScaleNormal="100" workbookViewId="0"/>
  </sheetViews>
  <sheetFormatPr defaultColWidth="8.7109375" defaultRowHeight="15"/>
  <cols>
    <col min="1" max="1" width="6" customWidth="1"/>
    <col min="2" max="2" width="55" customWidth="1"/>
    <col min="3" max="3" width="45" customWidth="1"/>
    <col min="4" max="4" width="35" customWidth="1"/>
  </cols>
  <sheetData>
    <row r="1" spans="1:4" ht="24" customHeight="1">
      <c r="A1" s="30" t="s">
        <v>349</v>
      </c>
      <c r="B1" s="30"/>
      <c r="C1" s="30"/>
      <c r="D1" s="30"/>
    </row>
    <row r="3" spans="1:4">
      <c r="A3" s="2" t="s">
        <v>350</v>
      </c>
      <c r="B3" s="2" t="s">
        <v>351</v>
      </c>
      <c r="C3" s="2" t="s">
        <v>352</v>
      </c>
      <c r="D3" s="2" t="s">
        <v>353</v>
      </c>
    </row>
    <row r="4" spans="1:4" ht="60" customHeight="1">
      <c r="A4" s="28" t="s">
        <v>354</v>
      </c>
      <c r="B4" s="28" t="s">
        <v>355</v>
      </c>
      <c r="C4" s="28" t="s">
        <v>356</v>
      </c>
      <c r="D4" s="28" t="s">
        <v>357</v>
      </c>
    </row>
    <row r="5" spans="1:4" ht="60" customHeight="1">
      <c r="A5" s="28" t="s">
        <v>358</v>
      </c>
      <c r="B5" s="28" t="s">
        <v>359</v>
      </c>
      <c r="C5" s="28" t="s">
        <v>360</v>
      </c>
      <c r="D5" s="28" t="s">
        <v>361</v>
      </c>
    </row>
    <row r="6" spans="1:4" ht="60" customHeight="1">
      <c r="A6" s="28" t="s">
        <v>362</v>
      </c>
      <c r="B6" s="28" t="s">
        <v>363</v>
      </c>
      <c r="C6" s="28" t="s">
        <v>364</v>
      </c>
      <c r="D6" s="28" t="s">
        <v>365</v>
      </c>
    </row>
    <row r="7" spans="1:4" ht="60" customHeight="1">
      <c r="A7" s="28" t="s">
        <v>366</v>
      </c>
      <c r="B7" s="28" t="s">
        <v>367</v>
      </c>
      <c r="C7" s="28" t="s">
        <v>368</v>
      </c>
      <c r="D7" s="28" t="s">
        <v>369</v>
      </c>
    </row>
    <row r="8" spans="1:4" ht="60" customHeight="1">
      <c r="A8" s="28" t="s">
        <v>370</v>
      </c>
      <c r="B8" s="28" t="s">
        <v>371</v>
      </c>
      <c r="C8" s="28" t="s">
        <v>372</v>
      </c>
      <c r="D8" s="28" t="s">
        <v>373</v>
      </c>
    </row>
    <row r="9" spans="1:4" ht="60" customHeight="1">
      <c r="A9" s="28" t="s">
        <v>374</v>
      </c>
      <c r="B9" s="28" t="s">
        <v>375</v>
      </c>
      <c r="C9" s="28" t="s">
        <v>376</v>
      </c>
      <c r="D9" s="28" t="s">
        <v>377</v>
      </c>
    </row>
    <row r="10" spans="1:4" ht="60" customHeight="1">
      <c r="A10" s="28" t="s">
        <v>378</v>
      </c>
      <c r="B10" s="28" t="s">
        <v>379</v>
      </c>
      <c r="C10" s="28" t="s">
        <v>380</v>
      </c>
      <c r="D10" s="28" t="s">
        <v>381</v>
      </c>
    </row>
    <row r="11" spans="1:4" ht="60" customHeight="1">
      <c r="A11" s="28" t="s">
        <v>382</v>
      </c>
      <c r="B11" s="28" t="s">
        <v>383</v>
      </c>
      <c r="C11" s="28" t="s">
        <v>384</v>
      </c>
      <c r="D11" s="28" t="s">
        <v>385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zoomScaleNormal="100" workbookViewId="0"/>
  </sheetViews>
  <sheetFormatPr defaultColWidth="8.7109375" defaultRowHeight="15"/>
  <cols>
    <col min="1" max="1" width="8" customWidth="1"/>
    <col min="2" max="2" width="110" customWidth="1"/>
  </cols>
  <sheetData>
    <row r="1" spans="1:2" ht="24" customHeight="1">
      <c r="A1" s="30" t="s">
        <v>44</v>
      </c>
      <c r="B1" s="30"/>
    </row>
    <row r="3" spans="1:2" ht="27.75" customHeight="1">
      <c r="A3" s="6" t="s">
        <v>386</v>
      </c>
      <c r="B3" s="19" t="s">
        <v>387</v>
      </c>
    </row>
    <row r="4" spans="1:2" ht="27.75" customHeight="1">
      <c r="A4" s="6" t="s">
        <v>388</v>
      </c>
      <c r="B4" s="19" t="s">
        <v>389</v>
      </c>
    </row>
    <row r="5" spans="1:2" ht="27.75" customHeight="1">
      <c r="A5" s="6" t="s">
        <v>390</v>
      </c>
      <c r="B5" s="19" t="s">
        <v>391</v>
      </c>
    </row>
    <row r="6" spans="1:2" ht="27.75" customHeight="1">
      <c r="A6" s="6" t="s">
        <v>392</v>
      </c>
      <c r="B6" s="19" t="s">
        <v>393</v>
      </c>
    </row>
    <row r="7" spans="1:2" ht="27.75" customHeight="1">
      <c r="A7" s="6" t="s">
        <v>394</v>
      </c>
      <c r="B7" s="19" t="s">
        <v>395</v>
      </c>
    </row>
    <row r="8" spans="1:2" ht="27.75" customHeight="1">
      <c r="A8" s="6" t="s">
        <v>396</v>
      </c>
      <c r="B8" s="19" t="s">
        <v>397</v>
      </c>
    </row>
    <row r="9" spans="1:2" ht="27.75" customHeight="1">
      <c r="A9" s="6" t="s">
        <v>398</v>
      </c>
      <c r="B9" s="19" t="s">
        <v>399</v>
      </c>
    </row>
    <row r="10" spans="1:2" ht="27.75" customHeight="1">
      <c r="A10" s="6" t="s">
        <v>400</v>
      </c>
      <c r="B10" s="19" t="s">
        <v>401</v>
      </c>
    </row>
    <row r="11" spans="1:2" ht="27.75" customHeight="1">
      <c r="A11" s="6" t="s">
        <v>402</v>
      </c>
      <c r="B11" s="19" t="s">
        <v>403</v>
      </c>
    </row>
    <row r="12" spans="1:2" ht="27.75" customHeight="1">
      <c r="A12" s="6" t="s">
        <v>404</v>
      </c>
      <c r="B12" s="19" t="s">
        <v>405</v>
      </c>
    </row>
    <row r="13" spans="1:2" ht="27.75" customHeight="1">
      <c r="A13" s="6" t="s">
        <v>406</v>
      </c>
      <c r="B13" s="19" t="s">
        <v>407</v>
      </c>
    </row>
    <row r="14" spans="1:2" ht="27.75" customHeight="1">
      <c r="A14" s="6" t="s">
        <v>408</v>
      </c>
      <c r="B14" s="19" t="s">
        <v>409</v>
      </c>
    </row>
    <row r="15" spans="1:2" ht="27.75" customHeight="1">
      <c r="A15" s="6" t="s">
        <v>410</v>
      </c>
      <c r="B15" s="19" t="s">
        <v>411</v>
      </c>
    </row>
    <row r="16" spans="1:2" ht="27.75" customHeight="1">
      <c r="A16" s="6" t="s">
        <v>412</v>
      </c>
      <c r="B16" s="19" t="s">
        <v>413</v>
      </c>
    </row>
    <row r="17" spans="1:2" ht="27.75" customHeight="1">
      <c r="A17" s="6" t="s">
        <v>414</v>
      </c>
      <c r="B17" s="19" t="s">
        <v>415</v>
      </c>
    </row>
    <row r="18" spans="1:2" ht="27.75" customHeight="1">
      <c r="A18" s="6" t="s">
        <v>416</v>
      </c>
      <c r="B18" s="19" t="s">
        <v>417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90333-C924-4E7F-B5E1-908D731A7899}"/>
</file>

<file path=customXml/itemProps2.xml><?xml version="1.0" encoding="utf-8"?>
<ds:datastoreItem xmlns:ds="http://schemas.openxmlformats.org/officeDocument/2006/customXml" ds:itemID="{D20271B4-7A78-4BA4-A144-A231BD38930F}"/>
</file>

<file path=customXml/itemProps3.xml><?xml version="1.0" encoding="utf-8"?>
<ds:datastoreItem xmlns:ds="http://schemas.openxmlformats.org/officeDocument/2006/customXml" ds:itemID="{33124B61-107C-40EB-A0B6-4F7F4AFD7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Jindu Eze</cp:lastModifiedBy>
  <cp:revision>0</cp:revision>
  <dcterms:created xsi:type="dcterms:W3CDTF">2026-04-28T12:57:49Z</dcterms:created>
  <dcterms:modified xsi:type="dcterms:W3CDTF">2026-05-01T14:19:11Z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</Properties>
</file>